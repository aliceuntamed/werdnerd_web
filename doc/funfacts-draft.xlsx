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e557a299db13c36/Desktop/PoisonIvy2.0/Build/werdnerd_web/doc/"/>
    </mc:Choice>
  </mc:AlternateContent>
  <xr:revisionPtr revIDLastSave="431" documentId="8_{1128D671-0833-4FAA-BD16-EB52CB7C9B65}" xr6:coauthVersionLast="47" xr6:coauthVersionMax="47" xr10:uidLastSave="{004DFC27-54BF-4E6C-AA32-A797676A2CA0}"/>
  <bookViews>
    <workbookView xWindow="-110" yWindow="-110" windowWidth="19420" windowHeight="10300" activeTab="1" xr2:uid="{D69D8C31-ABA2-4B54-9882-BAE4B81E93FF}"/>
  </bookViews>
  <sheets>
    <sheet name="funfacts-draft" sheetId="1" r:id="rId1"/>
    <sheet name="Categories" sheetId="3" r:id="rId2"/>
    <sheet name="notes" sheetId="2" r:id="rId3"/>
  </sheets>
  <definedNames>
    <definedName name="_xlcn.WorksheetConnection_funfactsdraft.xlsxFunFacts1" hidden="1">FunFacts[]</definedName>
    <definedName name="cats">FunFacts[fact_category]</definedName>
  </definedNames>
  <calcPr calcId="0"/>
  <extLst>
    <ext xmlns:x15="http://schemas.microsoft.com/office/spreadsheetml/2010/11/main" uri="{FCE2AD5D-F65C-4FA6-A056-5C36A1767C68}">
      <x15:dataModel>
        <x15:modelTables>
          <x15:modelTable id="FunFacts" name="FunFacts" connection="WorksheetConnection_funfacts-draft.xlsx!FunFacts"/>
        </x15:modelTables>
      </x15:dataModel>
    </ext>
  </extLst>
</workbook>
</file>

<file path=xl/calcChain.xml><?xml version="1.0" encoding="utf-8"?>
<calcChain xmlns="http://schemas.openxmlformats.org/spreadsheetml/2006/main">
  <c r="C12" i="3" l="1"/>
  <c r="D12" i="3" s="1" a="1"/>
  <c r="D12" i="3" s="1"/>
  <c r="C11" i="3"/>
  <c r="D11" i="3" s="1" a="1"/>
  <c r="D11" i="3" s="1"/>
  <c r="C10" i="3"/>
  <c r="D10" i="3" s="1" a="1"/>
  <c r="D10" i="3" s="1"/>
  <c r="C9" i="3"/>
  <c r="D9" i="3" s="1" a="1"/>
  <c r="D9" i="3" s="1"/>
  <c r="C8" i="3"/>
  <c r="D8" i="3" s="1" a="1"/>
  <c r="D8" i="3" s="1"/>
  <c r="C7" i="3"/>
  <c r="D7" i="3" s="1" a="1"/>
  <c r="D7" i="3" s="1"/>
  <c r="C6" i="3"/>
  <c r="D6" i="3" s="1" a="1"/>
  <c r="D6" i="3" s="1"/>
  <c r="C5" i="3"/>
  <c r="D5" i="3" s="1" a="1"/>
  <c r="D5" i="3" s="1"/>
  <c r="C4" i="3"/>
  <c r="D4" i="3" s="1" a="1"/>
  <c r="D4" i="3" s="1"/>
  <c r="C3" i="3"/>
  <c r="D3" i="3" s="1" a="1"/>
  <c r="D3" i="3" s="1"/>
  <c r="C2" i="3"/>
  <c r="D2" i="3" s="1" a="1"/>
  <c r="D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Stephanie Kellum</author>
  </authors>
  <commentList>
    <comment ref="D2" authorId="0" shapeId="0" xr:uid="{85D1631B-5860-4586-A661-2603F44BB7D5}">
      <text>
        <r>
          <rPr>
            <b/>
            <sz val="9"/>
            <color indexed="81"/>
            <rFont val="Tahoma"/>
            <family val="2"/>
          </rPr>
          <t>Stephanie Kellum:</t>
        </r>
        <r>
          <rPr>
            <sz val="9"/>
            <color indexed="81"/>
            <rFont val="Tahoma"/>
            <family val="2"/>
          </rPr>
          <t xml:space="preserve">
Counts exact comma-delimited category matches in funfacts-draft fact_category.</t>
        </r>
      </text>
    </comment>
    <comment ref="D3" authorId="0" shapeId="0" xr:uid="{E5CDDB32-72AB-4E43-949E-29E2D7DFAFDB}">
      <text>
        <r>
          <rPr>
            <b/>
            <sz val="9"/>
            <color indexed="81"/>
            <rFont val="Tahoma"/>
            <family val="2"/>
          </rPr>
          <t>Stephanie Kellum:</t>
        </r>
        <r>
          <rPr>
            <sz val="9"/>
            <color indexed="81"/>
            <rFont val="Tahoma"/>
            <family val="2"/>
          </rPr>
          <t xml:space="preserve">
Counts exact comma-delimited category matches in funfacts-draft fact_category.</t>
        </r>
      </text>
    </comment>
    <comment ref="D4" authorId="0" shapeId="0" xr:uid="{2609D7B1-96D0-4499-9310-49E64FC1860B}">
      <text>
        <r>
          <rPr>
            <b/>
            <sz val="9"/>
            <color indexed="81"/>
            <rFont val="Tahoma"/>
            <family val="2"/>
          </rPr>
          <t>Stephanie Kellum:</t>
        </r>
        <r>
          <rPr>
            <sz val="9"/>
            <color indexed="81"/>
            <rFont val="Tahoma"/>
            <family val="2"/>
          </rPr>
          <t xml:space="preserve">
Counts exact comma-delimited category matches in funfacts-draft fact_category.</t>
        </r>
      </text>
    </comment>
    <comment ref="D5" authorId="0" shapeId="0" xr:uid="{E025EAA0-E100-4D34-8C1A-D9C1D3CAA0F1}">
      <text>
        <r>
          <rPr>
            <b/>
            <sz val="9"/>
            <color indexed="81"/>
            <rFont val="Tahoma"/>
            <family val="2"/>
          </rPr>
          <t>Stephanie Kellum:</t>
        </r>
        <r>
          <rPr>
            <sz val="9"/>
            <color indexed="81"/>
            <rFont val="Tahoma"/>
            <family val="2"/>
          </rPr>
          <t xml:space="preserve">
Counts exact comma-delimited category matches in funfacts-draft fact_category.</t>
        </r>
      </text>
    </comment>
    <comment ref="D6" authorId="0" shapeId="0" xr:uid="{98DBFA34-8D29-4DE7-988F-A9D10B83E720}">
      <text>
        <r>
          <rPr>
            <b/>
            <sz val="9"/>
            <color indexed="81"/>
            <rFont val="Tahoma"/>
            <family val="2"/>
          </rPr>
          <t>Stephanie Kellum:</t>
        </r>
        <r>
          <rPr>
            <sz val="9"/>
            <color indexed="81"/>
            <rFont val="Tahoma"/>
            <family val="2"/>
          </rPr>
          <t xml:space="preserve">
Counts exact comma-delimited category matches in funfacts-draft fact_category.</t>
        </r>
      </text>
    </comment>
    <comment ref="D7" authorId="0" shapeId="0" xr:uid="{7E81279C-B215-4F08-A820-4A323E2770C2}">
      <text>
        <r>
          <rPr>
            <b/>
            <sz val="9"/>
            <color indexed="81"/>
            <rFont val="Tahoma"/>
            <family val="2"/>
          </rPr>
          <t>Stephanie Kellum:</t>
        </r>
        <r>
          <rPr>
            <sz val="9"/>
            <color indexed="81"/>
            <rFont val="Tahoma"/>
            <family val="2"/>
          </rPr>
          <t xml:space="preserve">
Counts exact comma-delimited category matches in funfacts-draft fact_category.</t>
        </r>
      </text>
    </comment>
    <comment ref="D8" authorId="0" shapeId="0" xr:uid="{07B0A86A-5ED9-48D8-AC7B-0190FBA53A76}">
      <text>
        <r>
          <rPr>
            <b/>
            <sz val="9"/>
            <color indexed="81"/>
            <rFont val="Tahoma"/>
            <family val="2"/>
          </rPr>
          <t>Stephanie Kellum:</t>
        </r>
        <r>
          <rPr>
            <sz val="9"/>
            <color indexed="81"/>
            <rFont val="Tahoma"/>
            <family val="2"/>
          </rPr>
          <t xml:space="preserve">
Counts exact comma-delimited category matches in funfacts-draft fact_category.</t>
        </r>
      </text>
    </comment>
    <comment ref="D9" authorId="0" shapeId="0" xr:uid="{C0E77714-054F-44AA-9CCB-824342D3FB12}">
      <text>
        <r>
          <rPr>
            <b/>
            <sz val="9"/>
            <color indexed="81"/>
            <rFont val="Tahoma"/>
            <family val="2"/>
          </rPr>
          <t>Stephanie Kellum:</t>
        </r>
        <r>
          <rPr>
            <sz val="9"/>
            <color indexed="81"/>
            <rFont val="Tahoma"/>
            <family val="2"/>
          </rPr>
          <t xml:space="preserve">
Counts exact comma-delimited category matches in funfacts-draft fact_category.</t>
        </r>
      </text>
    </comment>
    <comment ref="D10" authorId="0" shapeId="0" xr:uid="{03100746-1F46-4E73-9B02-0E8B8AD044E1}">
      <text>
        <r>
          <rPr>
            <b/>
            <sz val="9"/>
            <color indexed="81"/>
            <rFont val="Tahoma"/>
            <family val="2"/>
          </rPr>
          <t>Stephanie Kellum:</t>
        </r>
        <r>
          <rPr>
            <sz val="9"/>
            <color indexed="81"/>
            <rFont val="Tahoma"/>
            <family val="2"/>
          </rPr>
          <t xml:space="preserve">
Counts exact comma-delimited category matches in funfacts-draft fact_category.</t>
        </r>
      </text>
    </comment>
    <comment ref="D11" authorId="0" shapeId="0" xr:uid="{357EA307-96CB-426B-84C5-9295DC784836}">
      <text>
        <r>
          <rPr>
            <b/>
            <sz val="9"/>
            <color indexed="81"/>
            <rFont val="Tahoma"/>
            <family val="2"/>
          </rPr>
          <t>Stephanie Kellum:</t>
        </r>
        <r>
          <rPr>
            <sz val="9"/>
            <color indexed="81"/>
            <rFont val="Tahoma"/>
            <family val="2"/>
          </rPr>
          <t xml:space="preserve">
Counts exact comma-delimited category matches in funfacts-draft fact_category.</t>
        </r>
      </text>
    </comment>
    <comment ref="D12" authorId="0" shapeId="0" xr:uid="{6A861314-D843-4E4C-BF7A-22304F8287C2}">
      <text>
        <r>
          <rPr>
            <b/>
            <sz val="9"/>
            <color indexed="81"/>
            <rFont val="Tahoma"/>
            <family val="2"/>
          </rPr>
          <t>Stephanie Kellum:</t>
        </r>
        <r>
          <rPr>
            <sz val="9"/>
            <color indexed="81"/>
            <rFont val="Tahoma"/>
            <family val="2"/>
          </rPr>
          <t xml:space="preserve">
Counts exact comma-delimited category matches in funfacts-draft fact_category.</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E05F40-0ECD-481C-93B5-CD776555DEB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22556CA-4FFA-4146-9990-268329B968C4}" name="WorksheetConnection_funfacts-draft.xlsx!FunFacts" type="102" refreshedVersion="8" minRefreshableVersion="5">
    <extLst>
      <ext xmlns:x15="http://schemas.microsoft.com/office/spreadsheetml/2010/11/main" uri="{DE250136-89BD-433C-8126-D09CA5730AF9}">
        <x15:connection id="FunFacts">
          <x15:rangePr sourceName="_xlcn.WorksheetConnection_funfactsdraft.xlsxFunFact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<sst xmlns="http://schemas.openxmlformats.org/spreadsheetml/2006/main" count="360" uniqueCount="300">
  <si>
    <t>fact_id</t>
  </si>
  <si>
    <t>fact</t>
  </si>
  <si>
    <t>created_at</t>
  </si>
  <si>
    <t>fact_category</t>
  </si>
  <si>
    <t>04e58638-5f23-4eb5-bc79-7bad041e2dee</t>
  </si>
  <si>
    <t>A group of frogs is called an army.</t>
  </si>
  <si>
    <t>Animal Facts</t>
  </si>
  <si>
    <t>05fa46eb-5139-44c6-9127-dfad75db4565</t>
  </si>
  <si>
    <t>https://blogs.loc.gov/law/2021/01/laws-involving-animals-real-and-mythical</t>
  </si>
  <si>
    <t>0648ab41-b83b-4bbc-bee0-404cb1fe6469</t>
  </si>
  <si>
    <t>08546c25-55d4-46fe-ab7b-ca8141da023b</t>
  </si>
  <si>
    <t>https://edition.cnn.com/travel/article/worlds-shortest-flight-orkney-scotland</t>
  </si>
  <si>
    <t>098210f5-0627-4d43-964c-05438b9c03fa</t>
  </si>
  <si>
    <t>https://articles.hepper.com/could-your-cat-be-allergic-to-you/</t>
  </si>
  <si>
    <t>12d6f0db-64ed-4436-befe-08aaf1ab597f</t>
  </si>
  <si>
    <t>https://www.verywellmind.com/hippopotomonstrosesquipedaliophobia-2671752</t>
  </si>
  <si>
    <t>13992a48-ef48-49d4-9c76-d62295c650b8</t>
  </si>
  <si>
    <t>In Japan, you can buy square watermelons.</t>
  </si>
  <si>
    <t>1668b69c-e777-40df-b13b-22fe6a790c07</t>
  </si>
  <si>
    <t>https://www.cracked.com/article_46000_tv-show-sets-that-were-recycled-for-other-series.html</t>
  </si>
  <si>
    <t>Pop Culture</t>
  </si>
  <si>
    <t>1e3e8293-39ad-445d-ab28-43a8511f64fa</t>
  </si>
  <si>
    <t>https://iere.org/why-cant-cows-walk-downstairs/</t>
  </si>
  <si>
    <t>2a2f6bfb-b6ab-4ef2-a57f-ef3753741026</t>
  </si>
  <si>
    <t>https://funfactz.com/science/earth-history-condensed</t>
  </si>
  <si>
    <t>Science</t>
  </si>
  <si>
    <t>2ba8130a-7b1d-4242-9cbe-74da2380c688</t>
  </si>
  <si>
    <t>30019e16-dcbb-47b9-9f52-04521f6c7f29</t>
  </si>
  <si>
    <t>Life Hacks</t>
  </si>
  <si>
    <t>32f7dbc9-29a5-4350-8a7e-89127342a8e3</t>
  </si>
  <si>
    <t>Werd Facts</t>
  </si>
  <si>
    <t>3a99c78a-a85b-41bd-be76-70a218c66d82</t>
  </si>
  <si>
    <t>https://workingpawstraining.com/tips-for-owners/f/theres-a-beatles-song-that-has-a-frequency-only-dogs-can-hear</t>
  </si>
  <si>
    <t>Pop Culture, Animal Facts</t>
  </si>
  <si>
    <t>3dbec4bb-12dc-4f03-92ff-daad01f3c982</t>
  </si>
  <si>
    <t>https://www.usmagazine.com/stylish/news/kim-kardashians-will-has-hair-makeup-nail-clause-details/</t>
  </si>
  <si>
    <t>4343caea-26e0-4db5-8e7c-e5866265ed80</t>
  </si>
  <si>
    <t>https://www.nature.com/articles/s41380-022-01819-w</t>
  </si>
  <si>
    <t>4714770b-2c4a-4750-91cc-4ab4049491c6</t>
  </si>
  <si>
    <t>https://interestingfacts.com/fact/no-number-before-1000-contains-letter-a/</t>
  </si>
  <si>
    <t>4efd4589-9c81-423a-a15f-38ff6d8f491c</t>
  </si>
  <si>
    <t>5470c343-a960-48cb-a0e3-1466ed8ac3c0</t>
  </si>
  <si>
    <t>https://thefactbase.com/according-to-genesis-1-20-22-the-chicken-came-before-the-egg/</t>
  </si>
  <si>
    <t>Science, Animal Facts</t>
  </si>
  <si>
    <t>57d845dc-5d6e-43cf-b0d4-e6140862b0ad</t>
  </si>
  <si>
    <t>Dr. Seuss said he wrote it after Bennett Cerf bet he couldn’t write a book using only 50 words.</t>
  </si>
  <si>
    <t>5c32884c-98c9-4157-a81c-bbce3a314e9c</t>
  </si>
  <si>
    <t>https://www.newscientist.com/article/2385124-rats-have-a-laugh-centre-in-their-brains-that-responds-to-tickling/</t>
  </si>
  <si>
    <t>5c37920d-d6cb-462c-bb80-abf9c7240356</t>
  </si>
  <si>
    <t>https://www.allure.com/story/harry-styles-confirms-he-has-four-nipples</t>
  </si>
  <si>
    <t>63af974e-8bf1-4a76-b52e-af57ac9c7cb3</t>
  </si>
  <si>
    <t>https://www.iflscience.com/we-regret-to-inform-you-that-chainsaws-were-originally-invented-for-childbirth-58685</t>
  </si>
  <si>
    <t>698bc7f3-ad99-43a2-a868-accb1adf4a0b</t>
  </si>
  <si>
    <t>https://www.natgeokids.com/nz/discover/science/nature/science-dr-karl-rainbow/</t>
  </si>
  <si>
    <t>75dc6ebc-830b-40c2-81aa-7d72a12f1ae2</t>
  </si>
  <si>
    <t>https://www.mentalfloss.com/article/582820/run-most-complex-word-in-english-language</t>
  </si>
  <si>
    <t>7e751146-3f12-4ff5-96de-f6b26a2348aa</t>
  </si>
  <si>
    <t>https://en.wikipedia.org/wiki/Posthumous_marriage_in_France</t>
  </si>
  <si>
    <t>896cb3fd-c11f-4362-a85e-4c72566789c6</t>
  </si>
  <si>
    <t>https://tripsitter.com/psychedelics/natural/page/5/</t>
  </si>
  <si>
    <t>9829ed12-0c04-46d7-ba31-f99c5fb24295</t>
  </si>
  <si>
    <t>https://www.sciencefocus.com/science/how-long-is-a-jiffy</t>
  </si>
  <si>
    <t>a3fffc81-893c-4ae9-9630-44ead8270ab8</t>
  </si>
  <si>
    <t>https://buzztatler.com/do-cows-have-best-friends-heres-what-science-says/</t>
  </si>
  <si>
    <t>b2bdeb2b-24bb-4f23-9526-f44d3eb13a49</t>
  </si>
  <si>
    <t>In the 1840s, a cheesy grin was seen as childish, so a London photographer told people to say "prunes" to keep their mouths tight.</t>
  </si>
  <si>
    <t>bc26fcfd-fb88-4f0b-9ec7-163fdc2bc000</t>
  </si>
  <si>
    <t>Animal Facts, Werd Facts</t>
  </si>
  <si>
    <t>bc76adaa-5c18-4331-a9a2-c89cf5e378c2</t>
  </si>
  <si>
    <t>https://thefactbase.com/the-average-amount-of-time-a-woman-can-keep-a-secret-is-47-hours-and-15-minutes/</t>
  </si>
  <si>
    <t>bdd33f3b-2c81-4b31-ac47-d91c4dad168a</t>
  </si>
  <si>
    <t>https://www.thedisneyclassics.com/blog/mickey-and-minnie</t>
  </si>
  <si>
    <t>be0814d4-6a01-4007-9f2b-20bcd7f893f4</t>
  </si>
  <si>
    <t>https://www.sciencedaily.com/releases/2010/08/100802165441.htm</t>
  </si>
  <si>
    <t>c8d40f9a-80ae-4e7b-8b52-28a53b1f9945</t>
  </si>
  <si>
    <t>https://worldpopulationreview.com/country-rankings/happiest-countries-in-the-world</t>
  </si>
  <si>
    <t>c9333ec7-5ebb-4680-a0fc-d421aa708ffc</t>
  </si>
  <si>
    <t>Africa crosses the Equator and the Prime Meridian.</t>
  </si>
  <si>
    <t>d209799c-fbb5-4436-b5a3-3877c98e4402</t>
  </si>
  <si>
    <t>https://australian.museum/learn/teachers/learning/sleek-geeks-videos/sex-change-in-clownfish/</t>
  </si>
  <si>
    <t>Animal Facts, Science</t>
  </si>
  <si>
    <t>e211b29f-7b6e-45c2-b056-8cfdae894dfd</t>
  </si>
  <si>
    <t>https://math.hmc.edu/funfacts/memorizing-pi/</t>
  </si>
  <si>
    <t>Werd Facts, Science, Life Hacks</t>
  </si>
  <si>
    <t>The Old English wyrd meant fate, destiny, or the force determining what happens. Its journey toward “strange” came partly through the supernatural “weird sisters” associated with fate and later Shakespeare’s Macbeth. Etymology Online</t>
  </si>
  <si>
    <t>https://en.wikipedia.org/wiki/Tittle</t>
  </si>
  <si>
    <t>It comes from Latin titulus, a word connected with small marks placed above letters.</t>
  </si>
  <si>
    <t>https://www.merriam-webster.com/dictionary/clued?utm_source=chatgpt.com</t>
  </si>
  <si>
    <t xml:space="preserve">It comes from clew, meaning a ball of thread. The modern meaning grew from stories such as Theseus using a thread to find his way back out of the Minotaur’s labyrinth. </t>
  </si>
  <si>
    <t xml:space="preserve">Before fun became amusement, the noun was associated with tricks or cheats, and the verb could mean to cheat or hoax someone. </t>
  </si>
  <si>
    <t xml:space="preserve">It comes from Latin factum, “a thing done” or deed. The modern sense of something known to be true developed centuries later. </t>
  </si>
  <si>
    <t>The 17th president died on July 31, 1875, and per his instructions, his body was wrapped in the American flag and a copy of the Constitution placed under his head.</t>
  </si>
  <si>
    <t>https://www.smithsonianmag.com/travel/worlds-first-underwater-post-office-180964385/</t>
  </si>
  <si>
    <t>Situated off the coast of Hideaway Island Resort and Marine Sanctuary is the Vanuatu Post, the world’s only under-the-sea post office. Vacationers who want to send a waterproof postcard home can snorkel or scuba dive 10 feet below the ocean’s surface. A special flag is raised above the water to indicate when postal workers are in the water.</t>
  </si>
  <si>
    <t>https://blog.epostbook.com/wp-content/uploads/2020/09/Vanuatu-Post-Worlds-First-Underwater-Post-Office-Vanuatu.jpg</t>
  </si>
  <si>
    <t>Back in 1967, MLK Jr. and Coretta Scott King covered the cost of Julia Roberts’ hospital birth. It turns out Roberts’ parents couldn’t afford the bill, and the Kings’ gesture was a heartfelt payback. Julia’s parents, who ran a theater school in Atlanta, welcomed the King children as students when they had trouble finding a place that would accept them because they were Black.</t>
  </si>
  <si>
    <t>In the 1898 novella The Wreck of the Titan: Or, Futility, author Morgan Robertson wrote about a fictional ‘unsinkable’ British ocean liner named Titan, that sinks after hitting an iceberg in the North Atlantic. And even more uncanny, just like the 1912 sinking of the Titanic, the Titan didn’t have enough lifeboats for all of its passengers.</t>
  </si>
  <si>
    <t>When visiting Paris for the first time fails to live up to someone’s high expectations, it can bring on something called the Paris Syndrome. A real psychological condition, Paris Syndrome can cause symptoms such as vomiting, nausea, increased heart rate, and dizziness. Interestingly enough, it appears to affect Japanese tourists in greater numbers. Reasons for the disillusionment may be culture shock and clashes and the way Japanese pop culture portrays Paris as a picture of perfection, according to The Independent.</t>
  </si>
  <si>
    <t>Swedish people don’t know what ranch flavor is, so the product goes by the name of “Cool American” instead, according to Snopes.</t>
  </si>
  <si>
    <t>Blue lights on train platforms in Japan have been shown to reduce the chance someone will jump in front of a speeding train. In fact, one study in the Journal of Affective Disorders found blue lighting reduced suicide attempts by 84%. It’s believed blue registers as a calming color, associated with the sky and sea, which may be soothing to people in distress, according to Psychology Today.</t>
  </si>
  <si>
    <t>If either or both spouses tied the knot in jest or as part of a dare in Delaware, the marriage can be annulled. You just need to file within 90 days of learning the nuptials weren’t on the up and up.</t>
  </si>
  <si>
    <t>Weird Laws</t>
  </si>
  <si>
    <t>In the summer of 1518, hundreds of citizens in the French city of Strasbourg danced uncontrollably for days and weeks on end, with some dying from the overexertion. According to the History Channel, scientists and historians aren’t quite sure what was behind the deadly dance-a-thon, but some choice theories include the participants being part of a religious cult or having ingested a toxic mold on bread that produced spasms and hallucinations.</t>
  </si>
  <si>
    <t>Running out of gas on Germany’s fast-speed highway is against the law because it’s seen as a preventable circumstance. Stopping on the autobahn, even driving over the shoulder, is prohibited unless it’s an absolute emergency.</t>
  </si>
  <si>
    <t>The first U.S. coin in circulation said “Mind Your Business” instead of “In God We Trust.” Benjamin Franklin was responsible for coming up with the initial motto, but the wording changed to “In God We Trust” during the Civil War, mainly as a response to increased religious sentiment, according to Snopes.</t>
  </si>
  <si>
    <t>https://ids.si.edu/ids/deliveryService?id=NMAH-NMAH1998-02433&amp;max_w=1200</t>
  </si>
  <si>
    <t>https://www.britannica.com/one-good-fact/why-are-large-companies-suing-each-other-over-nurdles</t>
  </si>
  <si>
    <t>In 2010, Colgate and Aquafresh even sued each other over the right to depict the nurdle, with each company claiming ownership</t>
  </si>
  <si>
    <t>Werd Facts, Pop Culture</t>
  </si>
  <si>
    <t>Cap’n Crunch’s full name is Horatio Magellan Crunch.</t>
  </si>
  <si>
    <t>https://www.today.com/life/inspiration/interesting-facts-rcna130243</t>
  </si>
  <si>
    <t>https://parade.com/1099930/marynliles/history-facts/</t>
  </si>
  <si>
    <t>He had just one loss against a total of 300 opponents.</t>
  </si>
  <si>
    <t>Abraham Lincoln was also a licensed bartender.</t>
  </si>
  <si>
    <t>https://www.legalprofessionalsinc.org/fun-facts-about-some-noted-past-u-s-presidents/</t>
  </si>
  <si>
    <t>The pig had attacked a child who later passed away from their wounds. The pig was subsequently found guilty of the crime of killing a child and was executed by hanging.</t>
  </si>
  <si>
    <t>https://www.rd.com/list/mcdonalds-facts-trivia/</t>
  </si>
  <si>
    <t>The man was from Manchester, New Hampshire.</t>
  </si>
  <si>
    <t>removed all weird law facts at the bottom of the list. I don't want illegitimate facts</t>
  </si>
  <si>
    <t>History &amp; Society</t>
  </si>
  <si>
    <t>Health &amp; Medicine</t>
  </si>
  <si>
    <t>Places &amp; Cultures</t>
  </si>
  <si>
    <t>Mind &amp; Behavior</t>
  </si>
  <si>
    <t>Inventions &amp; Technology</t>
  </si>
  <si>
    <t>Places &amp; Cultures, Animal Facts</t>
  </si>
  <si>
    <t>Weird Laws, Places &amp; Cultures</t>
  </si>
  <si>
    <t>Pop Culture, Places &amp; Cultures</t>
  </si>
  <si>
    <t>Science, Places &amp; Cultures</t>
  </si>
  <si>
    <t>Werd Facts, Mind &amp; Behavior</t>
  </si>
  <si>
    <t>Places &amp; Cultures, Mind &amp; Behavior</t>
  </si>
  <si>
    <t>History &amp; Society, Werd Facts</t>
  </si>
  <si>
    <t>History &amp; Society, Places &amp; Cultures</t>
  </si>
  <si>
    <t>Werd Facts, History &amp; Society</t>
  </si>
  <si>
    <t>Pop Culture, History &amp; Society</t>
  </si>
  <si>
    <t>Places &amp; Cultures, History &amp; Society</t>
  </si>
  <si>
    <t>Pop Culture, Health &amp; Medicine</t>
  </si>
  <si>
    <t>Mind &amp; Behavior, Health &amp; Medicine</t>
  </si>
  <si>
    <t>fact_details</t>
  </si>
  <si>
    <t>fact_source</t>
  </si>
  <si>
    <t>It's considered animal abuse, because they're social beings and get lonely.</t>
  </si>
  <si>
    <t>fact_img</t>
  </si>
  <si>
    <t>Animal Facts, Weird Laws, Places &amp; Cultures</t>
  </si>
  <si>
    <t>https://www.theheraldrysociety.com/wp-content/uploads/2018/03/Royal-Arms-of-Scotland-2-1200x600.jpg</t>
  </si>
  <si>
    <t>https://www.nts.org.uk/stories/the-unicorn-scotlands-national-animal</t>
  </si>
  <si>
    <t>The mythical animal has been a celebrated symbol for centuries, appearing on the Scottish royal coat of arms in the 12th century and on gold coins in the 1600s.  In Celtic mythology, the unicorn represents purity, innocence and power. National Unicorn Day is celebrated annually on April 9 to honor the unicorn and its cultural, historical, and symbolic significance.</t>
  </si>
  <si>
    <t>https://pbs.twimg.com/media/G0tXMmqXwAAOKVL.jpg</t>
  </si>
  <si>
    <r>
      <t xml:space="preserve">Loganair’s </t>
    </r>
    <r>
      <rPr>
        <u/>
        <sz val="11"/>
        <color theme="1"/>
        <rFont val="Aptos Narrow"/>
        <family val="2"/>
        <scheme val="minor"/>
      </rPr>
      <t xml:space="preserve">Westray Airfield </t>
    </r>
    <r>
      <rPr>
        <sz val="11"/>
        <color theme="1"/>
        <rFont val="Aptos Narrow"/>
        <family val="2"/>
        <scheme val="minor"/>
      </rPr>
      <t xml:space="preserve">&lt;--&gt;  </t>
    </r>
    <r>
      <rPr>
        <u/>
        <sz val="11"/>
        <color theme="1"/>
        <rFont val="Aptos Narrow"/>
        <family val="2"/>
        <scheme val="minor"/>
      </rPr>
      <t>Papa Westray Airfield</t>
    </r>
    <r>
      <rPr>
        <sz val="11"/>
        <color theme="1"/>
        <rFont val="Aptos Narrow"/>
        <family val="2"/>
        <scheme val="minor"/>
      </rPr>
      <t xml:space="preserve"> route (about 90 seconds).</t>
    </r>
  </si>
  <si>
    <t>https://japanesetaste.com/blogs/japanese-taste-blog/all-about-japan-s-square-shaped-watermelons?redirectedFrom=int</t>
  </si>
  <si>
    <t>Known as Shikaku Suika in Japanese, they are just regular watermelons that are, instead, cube-shaped.</t>
  </si>
  <si>
    <t>a9yE3YW_700b.jpg (700×467)</t>
  </si>
  <si>
    <t>Similarly, the town of Rosewood in Pretty Little Liars was repurposed from Stars Hollow, originally built for Gilmore Girls.</t>
  </si>
  <si>
    <t>In Switzerland, it is illegal to own only one guinea pig.</t>
  </si>
  <si>
    <t>The unicorn is Scotland’s national animal, reportedly chosen for its associations with dominance, chivalry, purity, and innocence in Celtic mythology.</t>
  </si>
  <si>
    <t>The world’s shortest commercial flight operates in Scotland. The 1.7-mile journey takes about 90 seconds.</t>
  </si>
  <si>
    <t>Some cats are allergic to humans.</t>
  </si>
  <si>
    <t>Ironically, the fear of long words is called hippopotomonstrosesquipedaliophobia. The 36-letter term was first used in the first century BCE to criticize writers with an excessive fondness for long words.</t>
  </si>
  <si>
    <t>The high school set from iCarly was also used in Saved by the Bell and That’s So Raven, which may explain why it looks familiar.</t>
  </si>
  <si>
    <t>Cows can walk up stairs, but they cannot easily walk back down them.</t>
  </si>
  <si>
    <t>If Earth’s history were condensed into 24 hours, life would appear at 4:00 a.m., land plants at 10:24 p.m., the dinosaurs would go extinct at 11:41 p.m., and human history would begin at 11:58:43 p.m.</t>
  </si>
  <si>
    <t>The hazelnut is Oregon’s official state nut.</t>
  </si>
  <si>
    <t>Heating two capfuls of pure vanilla extract in an oven-safe container at 300 degrees for an hour can make your home smell like vanilla within about 20 minutes.</t>
  </si>
  <si>
    <t>At the end of the Beatles’ song “A Day in the Life,” there is a high-frequency sound that only dogs can hear.</t>
  </si>
  <si>
    <t>Kim Kardashian reportedly has a “glam clause” in her will stating that if she cannot get ready or communicate for herself, someone must ensure that her hair, nails, and makeup look perfect.</t>
  </si>
  <si>
    <t>Exercise and spending time with pets can both help support mental well-being and ease symptoms of depression.</t>
  </si>
  <si>
    <t>When spelled out, no number from one to 999 contains the letter “a.”</t>
  </si>
  <si>
    <t>A team of six women programmed the first general-purpose electronic digital computer.</t>
  </si>
  <si>
    <t>According to Genesis 1:20–22, the chicken came before the egg.</t>
  </si>
  <si>
    <t>Dr. Seuss wrote Green Eggs and Ham as the result of a bet.</t>
  </si>
  <si>
    <t>Rats can laugh, especially when they are tickled.</t>
  </si>
  <si>
    <t>Harry Styles has four nipples due to a common condition called polythelia.</t>
  </si>
  <si>
    <t>Early chainsaw-like tools were developed in late-18th-century Scotland to assist with symphysiotomies and the removal of diseased bone during childbirth.</t>
  </si>
  <si>
    <t>Your shadow always points directly toward the center of a rainbow.</t>
  </si>
  <si>
    <t>The word “run” is said to have more definitions than any other English word, with as many as 645 meanings.</t>
  </si>
  <si>
    <t>Under certain circumstances, French law allows a person to marry someone who has died.</t>
  </si>
  <si>
    <t>Nutmeg contains myristicin, a natural compound that can cause hallucinogenic effects when consumed in large doses.</t>
  </si>
  <si>
    <t>A jiffy is an actual unit of time equal to one-hundredth of a second.</t>
  </si>
  <si>
    <t>Cows can form close bonds with “best friends” and may become stressed when separated from them.</t>
  </si>
  <si>
    <t>People once said “prunes” instead of “cheese” when posing for photographs.</t>
  </si>
  <si>
    <t>A group of bunnies is called a “fluffle.”</t>
  </si>
  <si>
    <t>One study claimed that the average woman can keep a secret for 47 hours and 15 minutes.</t>
  </si>
  <si>
    <t>Russi Taylor and Wayne Allwine, the actors who voiced Minnie and Mickey Mouse, married in real life in 1991.</t>
  </si>
  <si>
    <t>The way we view others may reflect our own traits: positive perceptions can reveal positive qualities, while negative perceptions can reveal negative ones.</t>
  </si>
  <si>
    <t>Finland has been ranked the world’s happiest country for seven consecutive years.</t>
  </si>
  <si>
    <t>Africa is the only continent located in all four hemispheres.</t>
  </si>
  <si>
    <t>All clownfish are born male and can become female later in life.</t>
  </si>
  <si>
    <t>You can remember the digits of pi by counting the letters in each word of the phrase, “May I have a large container of coffee?”</t>
  </si>
  <si>
    <t>In ancient Greece, throwing an apple at someone was a way to declare your love.</t>
  </si>
  <si>
    <t>Hummingbirds cannot walk.</t>
  </si>
  <si>
    <t>The British Navy has reportedly used Britney Spears songs to deter pirates.</t>
  </si>
  <si>
    <t>Extended social isolation has been compared to the health risks of smoking 15 cigarettes a day.</t>
  </si>
  <si>
    <t>If you search for “askew” on Google, the results page tilts slightly to the right.</t>
  </si>
  <si>
    <t>Regularly getting fewer than six hours of sleep per night may reduce life expectancy.</t>
  </si>
  <si>
    <t>On some microwaves, holding down the 1, 0, or Stop/Cancel button activates silent mode.</t>
  </si>
  <si>
    <t>Smiling, even when you are not feeling especially joyful, may help improve your mood.</t>
  </si>
  <si>
    <t>To estimate the temperature in Fahrenheit, count a cricket’s chirps for 15 seconds and add 37.</t>
  </si>
  <si>
    <t>Robin Williams reportedly included a contract clause requiring companies that hired him to also employ a certain number of people experiencing homelessness.</t>
  </si>
  <si>
    <t>Scientists predict that in about 200 million years, the Americas and Asia could form a supercontinent centered near the North Pole called “Amasia.”</t>
  </si>
  <si>
    <t>A single strand of spaghetti is called a spaghetto.</t>
  </si>
  <si>
    <t>The word “weird” originally meant fate.</t>
  </si>
  <si>
    <t>The dot above a lowercase i or j is called a “tittle.”</t>
  </si>
  <si>
    <t>The word “clue” once meant a ball of yarn.</t>
  </si>
  <si>
    <t>Before “fun” came to mean amusement, the noun referred to tricks or cheating, and the verb meant to cheat or deceive someone.</t>
  </si>
  <si>
    <t>The word “fact” originally meant something done, rather than something true.</t>
  </si>
  <si>
    <t>Andrew Johnson was buried with his head resting on a copy of the U.S. Constitution.</t>
  </si>
  <si>
    <t>There is an underwater post office in the South Pacific.</t>
  </si>
  <si>
    <t>Martin Luther King Jr. paid Julia Roberts’ hospital bill when she was born.</t>
  </si>
  <si>
    <t>Some first-time visitors to Paris experience such severe disappointment that they develop a condition known as Paris syndrome.</t>
  </si>
  <si>
    <t>In Sweden, Cool Ranch Doritos are sold as “Cool American.”</t>
  </si>
  <si>
    <t>Blue mood lighting in some Japanese train stations has been used to help reduce suicides.</t>
  </si>
  <si>
    <t>In Delaware, a marriage may be annulled if one person entered it as a joke or dare.</t>
  </si>
  <si>
    <t>A 16th-century “dancing plague” caused people to dance uncontrollably, sometimes until they collapsed.</t>
  </si>
  <si>
    <t>It is illegal to run out of gas on Germany’s Autobahn.</t>
  </si>
  <si>
    <t>Some early U.S. coins featured the phrase “Mind Your Business.”</t>
  </si>
  <si>
    <t>The wavy dollop of toothpaste on a toothbrush is called a “nurdle.”</t>
  </si>
  <si>
    <t>There is a town in Norway called Hell, and it occasionally freezes over.</t>
  </si>
  <si>
    <t>Heinz ketchup reportedly flows at an average speed of 0.028 miles per hour.</t>
  </si>
  <si>
    <t>Famed magician Harry Houdini died on Halloween in 1926.</t>
  </si>
  <si>
    <t>On October 17, 1814, a giant beer vat burst at a London brewery, releasing more than 100,000 gallons of porter, flooding nearby streets, and killing eight people.</t>
  </si>
  <si>
    <t>Will Smith is now older than James Avery was when he played Uncle Phil on The Fresh Prince of Bel-Air.</t>
  </si>
  <si>
    <t>A group of porcupines is called a prickle.</t>
  </si>
  <si>
    <t>Abraham Lincoln is a member of the National Wrestling Hall of Fame.</t>
  </si>
  <si>
    <t>In 1386, a pig was sentenced to death in France.</t>
  </si>
  <si>
    <t>A statue of Jason Voorhees, the killer from Friday the 13th, is chained to the bottom of a lake in Minnesota.</t>
  </si>
  <si>
    <t>In 2005, a man named Ronald MacDonald robbed a Wendy’s.</t>
  </si>
  <si>
    <t>The Beatles added a 15 kHz high frequency tone as a playful Easter egg.</t>
  </si>
  <si>
    <t>ENIAC programmers Kay McNulty, Betty Jennings, Betty Snyder, Marlyn Wescoff, Fran Bilas, Ruth Lichterman.</t>
  </si>
  <si>
    <t>https://www.apartmenttherapy.com/use-vanilla-extract-to-make-you-152035</t>
  </si>
  <si>
    <t>https://www.oregon.gov/oda/about-us/Pages/oregon-symbols.aspx</t>
  </si>
  <si>
    <t>https://www.hachette.co.uk/wp-content/uploads/2019/06/hbg-title-9780762473144-67.pdf</t>
  </si>
  <si>
    <t>https://spectrum.ieee.org/the-women-behind-eniac</t>
  </si>
  <si>
    <t>https://library.osu.edu/site/40stories/2022/04/06/the-bet-that-led-to-green-eggs-and-ham/</t>
  </si>
  <si>
    <t>https://www.getty.edu/news/why-didnt-people-smile-in-old-photos/</t>
  </si>
  <si>
    <t>https://rabbit.org/care/collective-nouns/</t>
  </si>
  <si>
    <t>Informally*</t>
  </si>
  <si>
    <t>https://www.geographyrealm.com/continent-four-hemispheres/</t>
  </si>
  <si>
    <t>https://classicalanthology.theclassicslibrary.com/2017/03/28/the-apple-of-love/</t>
  </si>
  <si>
    <t>https://nationalzoo.si.edu/migratory-birds/hummingbirds</t>
  </si>
  <si>
    <t>Not officially confirmed by the British Navy</t>
  </si>
  <si>
    <t>https://www.truthorfiction.com/britney-spears-music-used-by-navy-to-scare-off-somali-pirates/</t>
  </si>
  <si>
    <t>https://www.hhs.gov/sites/default/files/surgeon-general-social-connection-advisory.pdf</t>
  </si>
  <si>
    <t>https://www.google.com/search?q=askew</t>
  </si>
  <si>
    <t>https://pubmed.ncbi.nlm.nih.gov/27743803/</t>
  </si>
  <si>
    <t>https://www.loc.gov/everyday-mysteries/zoology/item/can-crickets-tell-the-temperature/</t>
  </si>
  <si>
    <t>https://onlinelibrary.wiley.com/doi/full/10.1111/sjop.12483</t>
  </si>
  <si>
    <t>https://www.dictionary.com/e/spaghetto-singular-form-spaghetti/</t>
  </si>
  <si>
    <t>https://www.merriam-webster.com/wordplay/word-history-of-weird</t>
  </si>
  <si>
    <t>https://www.etymonline.com/word/fun</t>
  </si>
  <si>
    <t>https://www.merriam-webster.com/dictionary/fact</t>
  </si>
  <si>
    <t>https://www.nps.gov/anjo/learn/historyculture/death-of-president-andrew-johnson.htm</t>
  </si>
  <si>
    <t>https://www.smithsonianmag.com/smart-news/actress-julia-roberts-reveals-an-unlikely-connection-to-martin-luther-king-jr-180981054/</t>
  </si>
  <si>
    <t>https://www.loc.gov/resource/gdcmassbookdig.wreckoftitanorfu00robe/</t>
  </si>
  <si>
    <t>https://en.wikipedia.org/wiki/Paris_syndrome</t>
  </si>
  <si>
    <t>https://www.doritos.se/produkt/doritos-cool-american/</t>
  </si>
  <si>
    <t>https://www.sciencedirect.com/science/article/abs/pii/S0165032712005873</t>
  </si>
  <si>
    <t>https://delcode.delaware.gov/title13/c015/index.html</t>
  </si>
  <si>
    <t>https://academic.oup.com/book/38707/chapter/336781257</t>
  </si>
  <si>
    <t>https://www.gesetze-im-internet.de/stvo_2013/__18.html</t>
  </si>
  <si>
    <t>https://en.wikipedia.org/wiki/Fugio_cent</t>
  </si>
  <si>
    <t>https://en.wikipedia.org/wiki/Hell,_Norway</t>
  </si>
  <si>
    <t>https://www.heinz.com/</t>
  </si>
  <si>
    <t>https://www.britannica.com/biography/Harry-Houdini</t>
  </si>
  <si>
    <t>https://www.history.com/this-day-in-history/october-17/london-beer-flood</t>
  </si>
  <si>
    <t>A lifelong Cleveland Browns fan used his obituary to take one final jab at the team. He requested six Browns players to serve as pallbearers so they could “let him down one last time.”</t>
  </si>
  <si>
    <t>https://www.nbcsports.com/nfl/profootballtalk/rumor-mill/news/deceased-fan-asked-for-browns-pallbearers-so-they-could-let-him-down-one-more-time</t>
  </si>
  <si>
    <t>https://media-cldnry.s-nbcnews.com/image/upload/t_focal-760x428,f_auto,q_auto:best/MSNBC/Components/Video/__NEW/nn_11bwi_obit_130708.jpg</t>
  </si>
  <si>
    <t>No Browns player accepted the written request. However, according to the Browns public relations director, the team sent a representative to attend the funeral with a customized #76 jersey (for his favorite player, Lou Groza). ESPN also attended, filming a segment for a documentary on the Browns.</t>
  </si>
  <si>
    <t xml:space="preserve">Also, A baby porcupine is called a porcupette. </t>
  </si>
  <si>
    <t>https://www.merriam-webster.com/wordplay/animal-group-names</t>
  </si>
  <si>
    <t>https://en.wikipedia.org/wiki/Will_Smith ; https://en.wikipedia.org/wiki/James_Avery</t>
  </si>
  <si>
    <t>Will Smith was born September 25, 1968; James Avery was 44 when the show premiered in 1990</t>
  </si>
  <si>
    <t>Animal Facts, Health &amp; Medicine</t>
  </si>
  <si>
    <t>Mind &amp; Behavior, Animal Facts, Health &amp; Medicine</t>
  </si>
  <si>
    <t>Werd Facts, Science</t>
  </si>
  <si>
    <t>Animal Facts, Science, Life Hacks</t>
  </si>
  <si>
    <t>Mind &amp; Behavior, Places &amp; Cultures, Health &amp; Medicine</t>
  </si>
  <si>
    <t>History &amp; Society, Health &amp; Medicine</t>
  </si>
  <si>
    <t>History &amp; Society, Animal Facts, Weird Laws, Places &amp; Cultures</t>
  </si>
  <si>
    <t>Pop Culture, Weird Laws</t>
  </si>
  <si>
    <t>Inventions &amp; Technology, Science</t>
  </si>
  <si>
    <t>Health &amp; Medicine, History &amp; Society, Inventions &amp; Technology</t>
  </si>
  <si>
    <t>https://pubmed.ncbi.nlm.nih.gov/35952653/</t>
  </si>
  <si>
    <t>https://www.samsung.com/au/support/home-appliances/microwave-turn-off-sound/</t>
  </si>
  <si>
    <t>The word "Triskaidekaphobia" is commonly used in spelling bees.</t>
  </si>
  <si>
    <t>https://www.merriam-webster.com/dictionary/triskaidekaphobia</t>
  </si>
  <si>
    <t>https://www.nature.com/articles/nature10800</t>
  </si>
  <si>
    <t>https://en.as.com/meristation/news/the-heartwarming-rumor-about-robin-williams-and-his-movies-n/</t>
  </si>
  <si>
    <t>The written contract clauses remain unconfirmed, however many supporting statements have substantiated the claims.</t>
  </si>
  <si>
    <t>There are no reported cases of any person who was born blind developing schizophrenia.</t>
  </si>
  <si>
    <t>An author predicted the sinking of the Titanic 14 years before the disaster.</t>
  </si>
  <si>
    <t>https://neurolaunch.com/touch-points-for-anxiety/</t>
  </si>
  <si>
    <t>It works by activating the vagus nerve and providing grounding through focused physical sensation, which together reduce stress and anxiety</t>
  </si>
  <si>
    <t>If you're nervous, pinch your nose; you'll calm down.</t>
  </si>
  <si>
    <t>Life Hacks, Mind &amp; Behavior</t>
  </si>
  <si>
    <t>https://www.intuiwell.com/better-sleep/the-fake-blink-a-neuroscience-backed-trick-to-fall-asleep-faster/</t>
  </si>
  <si>
    <t>Dr. Andrew Huberman’s research shows that slow blinking mimics your brain’s natural pre-sleep behaviour.
It tells your nervous system: “It’s time to power down.”</t>
  </si>
  <si>
    <t>If you can't sleep, blink rapidly for 1 minute.</t>
  </si>
  <si>
    <t>Life Hacks, Mind &amp; Behavior, Health &amp; Medicine</t>
  </si>
  <si>
    <t>Total</t>
  </si>
  <si>
    <t>Fact Category</t>
  </si>
  <si>
    <t>Fact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</si>
</sst>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trike/>
      <sz val="11"/>
      <color theme="1"/>
      <name val="Aptos Narrow"/>
      <family val="2"/>
      <scheme val="minor"/>
    </font>
    <font>
      <sz val="10"/>
      <color rgb="FF1F2937"/>
      <name val="Arial"/>
      <family val="2"/>
    </font>
    <font>
      <u/>
      <sz val="11"/>
      <color theme="10"/>
      <name val="Aptos Narrow"/>
      <family val="2"/>
      <scheme val="minor"/>
    </font>
    <font>
      <u/>
      <sz val="11"/>
      <color theme="1"/>
      <name val="Aptos Narrow"/>
      <family val="2"/>
      <scheme val="minor"/>
    </font>
    <font>
      <b/>
      <sz val="11"/>
      <color rgb="FFFFFFFF"/>
      <name val="Aptos Narrow"/>
      <family val="2"/>
      <scheme val="minor"/>
    </font>
    <font>
      <sz val="9"/>
      <color indexed="81"/>
      <name val="Tahoma"/>
      <family val="2"/>
    </font>
    <font>
      <b/>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D233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0">
    <xf numFmtId="0" fontId="0" fillId="0" borderId="0" xfId="0"/>
    <xf numFmtId="11" fontId="0" fillId="0" borderId="0" xfId="0" applyNumberFormat="1"/>
    <xf numFmtId="0" fontId="18" fillId="0" borderId="0" xfId="0" applyFont="1"/>
    <xf numFmtId="0" fontId="20" fillId="0" borderId="0" xfId="42"/>
    <xf numFmtId="0" fontId="0" fillId="0" borderId="0" xfId="0" applyAlignment="1"/>
    <xf numFmtId="0" fontId="20" fillId="0" borderId="0" xfId="42" applyAlignment="1"/>
    <xf numFmtId="0" fontId="19" fillId="0" borderId="0" xfId="0" applyFont="1" applyAlignment="1">
      <alignment vertical="top"/>
    </xf>
    <xf numFmtId="0" fontId="18" fillId="0" borderId="0" xfId="0" applyFont="1" applyAlignment="1"/>
    <xf numFmtId="0" fontId="22" fillId="33" borderId="0" xfId="0" applyFont="1" applyFill="1" applyAlignment="1">
      <alignment horizontal="left"/>
    </xf>
    <xf numFmtId="0" fontId="22"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strike val="0"/>
      </font>
      <fill>
        <patternFill>
          <bgColor rgb="FFCC99FF"/>
        </patternFill>
      </fill>
    </dxf>
    <dxf>
      <fill>
        <patternFill>
          <bgColor rgb="FF99FF99"/>
        </patternFill>
      </fill>
    </dxf>
    <dxf>
      <font>
        <strike val="0"/>
      </font>
      <fill>
        <patternFill>
          <bgColor rgb="FFCC99FF"/>
        </patternFill>
      </fill>
    </dxf>
    <dxf>
      <fill>
        <patternFill>
          <bgColor rgb="FF99FF99"/>
        </patternFill>
      </fill>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1" defaultTableStyle="TableStyleMedium2" defaultPivotStyle="PivotStyleLight16">
    <tableStyle name="Invisible" pivot="0" table="0" count="0" xr9:uid="{CE0EA0DD-AE32-425B-B972-D0A08B9DBEC9}"/>
  </tableStyles>
  <colors>
    <mruColors>
      <color rgb="FF99FF99"/>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sharedStrings" Target="sharedStrings.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alcChain" Target="calcChain.xml"/><Relationship Id="rId24" Type="http://schemas.openxmlformats.org/officeDocument/2006/relationships/customXml" Target="../customXml/item13.xml"/><Relationship Id="rId5" Type="http://schemas.openxmlformats.org/officeDocument/2006/relationships/connections" Target="connections.xml"/><Relationship Id="rId15" Type="http://schemas.openxmlformats.org/officeDocument/2006/relationships/customXml" Target="../customXml/item4.xml"/><Relationship Id="rId23" Type="http://schemas.openxmlformats.org/officeDocument/2006/relationships/customXml" Target="../customXml/item12.xml"/><Relationship Id="rId10" Type="http://schemas.microsoft.com/office/2017/10/relationships/person" Target="persons/person.xml"/><Relationship Id="rId19" Type="http://schemas.openxmlformats.org/officeDocument/2006/relationships/customXml" Target="../customXml/item8.xml"/><Relationship Id="rId4" Type="http://schemas.openxmlformats.org/officeDocument/2006/relationships/theme" Target="theme/theme1.xml"/><Relationship Id="rId9" Type="http://schemas.openxmlformats.org/officeDocument/2006/relationships/powerPivotData" Target="model/item.data"/><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C40D86-DACB-468A-A281-7AF1A9445E38}" name="FunFacts" displayName="FunFacts" ref="A1:G86" totalsRowCount="1">
  <autoFilter ref="A1:G85" xr:uid="{87C40D86-DACB-468A-A281-7AF1A9445E38}"/>
  <tableColumns count="7">
    <tableColumn id="1" xr3:uid="{E20517BB-6F7F-4385-A31C-AE8E433A4A42}" name="fact_id" totalsRowLabel="Total"/>
    <tableColumn id="2" xr3:uid="{AD67BF82-FFDE-4CDD-B5C6-0D4C04A3AE38}" name="fact" dataDxfId="5" totalsRowDxfId="4"/>
    <tableColumn id="9" xr3:uid="{D28B6142-4C19-49AA-886D-4368131A37C9}" name="fact_details"/>
    <tableColumn id="3" xr3:uid="{1EA77690-6C7F-4767-9ADF-246D13E36F74}" name="fact_source"/>
    <tableColumn id="4" xr3:uid="{D17AF740-0F62-49D7-97DD-FFB3682D27C6}" name="created_at"/>
    <tableColumn id="6" xr3:uid="{DD03D90B-E7DA-454D-809B-3CE9865B62C9}" name="fact_category"/>
    <tableColumn id="7" xr3:uid="{5A692F6C-0503-4E88-A1EC-DD0C6F4A4572}" name="fact_img"/>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3B19236-2D35-449B-9F0D-C9AC3268AD5B}">
  <we:reference id="wa200010215" version="2.0.0.0" store="en-US" storeType="OMEX"/>
  <we:alternateReferences>
    <we:reference id="WA200010215" version="2.0.0.0" store="" storeType="OMEX"/>
  </we:alternateReferences>
  <we:properties>
    <we:property name="bps.codex_control.document_id" value="&quot;0fddd90d-984e-4dd7-affa-72ead48df63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3" Type="http://schemas.openxmlformats.org/officeDocument/2006/relationships/hyperlink" Target="https://www.getty.edu/news/why-didnt-people-smile-in-old-photos/" TargetMode="External"/><Relationship Id="rId18" Type="http://schemas.openxmlformats.org/officeDocument/2006/relationships/hyperlink" Target="https://nationalzoo.si.edu/migratory-birds/hummingbirds" TargetMode="External"/><Relationship Id="rId26" Type="http://schemas.openxmlformats.org/officeDocument/2006/relationships/hyperlink" Target="https://www.etymonline.com/word/fun" TargetMode="External"/><Relationship Id="rId39" Type="http://schemas.openxmlformats.org/officeDocument/2006/relationships/hyperlink" Target="https://www.heinz.com/" TargetMode="External"/><Relationship Id="rId21" Type="http://schemas.openxmlformats.org/officeDocument/2006/relationships/hyperlink" Target="https://www.google.com/search?q=askew" TargetMode="External"/><Relationship Id="rId34" Type="http://schemas.openxmlformats.org/officeDocument/2006/relationships/hyperlink" Target="https://delcode.delaware.gov/title13/c015/index.html" TargetMode="External"/><Relationship Id="rId42" Type="http://schemas.openxmlformats.org/officeDocument/2006/relationships/hyperlink" Target="https://www.nbcsports.com/nfl/profootballtalk/rumor-mill/news/deceased-fan-asked-for-browns-pallbearers-so-they-could-let-him-down-one-more-time" TargetMode="External"/><Relationship Id="rId47" Type="http://schemas.openxmlformats.org/officeDocument/2006/relationships/hyperlink" Target="https://www.merriam-webster.com/dictionary/triskaidekaphobia" TargetMode="External"/><Relationship Id="rId50" Type="http://schemas.openxmlformats.org/officeDocument/2006/relationships/hyperlink" Target="https://neurolaunch.com/touch-points-for-anxiety/" TargetMode="External"/><Relationship Id="rId7" Type="http://schemas.openxmlformats.org/officeDocument/2006/relationships/hyperlink" Target="https://images-cdn.9gag.com/photo/a9yE3YW_700b.jpg" TargetMode="External"/><Relationship Id="rId2" Type="http://schemas.openxmlformats.org/officeDocument/2006/relationships/hyperlink" Target="https://www.nts.org.uk/stories/the-unicorn-scotlands-national-animal" TargetMode="External"/><Relationship Id="rId16" Type="http://schemas.openxmlformats.org/officeDocument/2006/relationships/hyperlink" Target="https://www.geographyrealm.com/continent-four-hemispheres/" TargetMode="External"/><Relationship Id="rId29" Type="http://schemas.openxmlformats.org/officeDocument/2006/relationships/hyperlink" Target="https://www.smithsonianmag.com/smart-news/actress-julia-roberts-reveals-an-unlikely-connection-to-martin-luther-king-jr-180981054/" TargetMode="External"/><Relationship Id="rId11" Type="http://schemas.openxmlformats.org/officeDocument/2006/relationships/hyperlink" Target="https://spectrum.ieee.org/the-women-behind-eniac" TargetMode="External"/><Relationship Id="rId24" Type="http://schemas.openxmlformats.org/officeDocument/2006/relationships/hyperlink" Target="https://www.dictionary.com/e/spaghetto-singular-form-spaghetti/" TargetMode="External"/><Relationship Id="rId32" Type="http://schemas.openxmlformats.org/officeDocument/2006/relationships/hyperlink" Target="https://www.doritos.se/produkt/doritos-cool-american/" TargetMode="External"/><Relationship Id="rId37" Type="http://schemas.openxmlformats.org/officeDocument/2006/relationships/hyperlink" Target="https://en.wikipedia.org/wiki/Fugio_cent" TargetMode="External"/><Relationship Id="rId40" Type="http://schemas.openxmlformats.org/officeDocument/2006/relationships/hyperlink" Target="https://www.britannica.com/biography/Harry-Houdini" TargetMode="External"/><Relationship Id="rId45" Type="http://schemas.openxmlformats.org/officeDocument/2006/relationships/hyperlink" Target="https://pubmed.ncbi.nlm.nih.gov/35952653/" TargetMode="External"/><Relationship Id="rId53" Type="http://schemas.openxmlformats.org/officeDocument/2006/relationships/table" Target="../tables/table1.xml"/><Relationship Id="rId5" Type="http://schemas.openxmlformats.org/officeDocument/2006/relationships/hyperlink" Target="https://www.verywellmind.com/hippopotomonstrosesquipedaliophobia-2671752" TargetMode="External"/><Relationship Id="rId10" Type="http://schemas.openxmlformats.org/officeDocument/2006/relationships/hyperlink" Target="https://www.hachette.co.uk/wp-content/uploads/2019/06/hbg-title-9780762473144-67.pdf" TargetMode="External"/><Relationship Id="rId19" Type="http://schemas.openxmlformats.org/officeDocument/2006/relationships/hyperlink" Target="https://www.truthorfiction.com/britney-spears-music-used-by-navy-to-scare-off-somali-pirates/" TargetMode="External"/><Relationship Id="rId31" Type="http://schemas.openxmlformats.org/officeDocument/2006/relationships/hyperlink" Target="https://en.wikipedia.org/wiki/Paris_syndrome" TargetMode="External"/><Relationship Id="rId44" Type="http://schemas.openxmlformats.org/officeDocument/2006/relationships/hyperlink" Target="https://www.merriam-webster.com/wordplay/animal-group-names" TargetMode="External"/><Relationship Id="rId52" Type="http://schemas.openxmlformats.org/officeDocument/2006/relationships/printerSettings" Target="../printerSettings/printerSettings1.bin"/><Relationship Id="rId4" Type="http://schemas.openxmlformats.org/officeDocument/2006/relationships/hyperlink" Target="https://pbs.twimg.com/media/G0tXMmqXwAAOKVL.jpg" TargetMode="External"/><Relationship Id="rId9" Type="http://schemas.openxmlformats.org/officeDocument/2006/relationships/hyperlink" Target="https://www.oregon.gov/oda/about-us/Pages/oregon-symbols.aspx" TargetMode="External"/><Relationship Id="rId14" Type="http://schemas.openxmlformats.org/officeDocument/2006/relationships/hyperlink" Target="https://rabbit.org/care/collective-nouns/" TargetMode="External"/><Relationship Id="rId22" Type="http://schemas.openxmlformats.org/officeDocument/2006/relationships/hyperlink" Target="https://pubmed.ncbi.nlm.nih.gov/27743803/" TargetMode="External"/><Relationship Id="rId27" Type="http://schemas.openxmlformats.org/officeDocument/2006/relationships/hyperlink" Target="https://www.merriam-webster.com/dictionary/fact" TargetMode="External"/><Relationship Id="rId30" Type="http://schemas.openxmlformats.org/officeDocument/2006/relationships/hyperlink" Target="https://www.loc.gov/resource/gdcmassbookdig.wreckoftitanorfu00robe/" TargetMode="External"/><Relationship Id="rId35" Type="http://schemas.openxmlformats.org/officeDocument/2006/relationships/hyperlink" Target="https://academic.oup.com/book/38707/chapter/336781257" TargetMode="External"/><Relationship Id="rId43" Type="http://schemas.openxmlformats.org/officeDocument/2006/relationships/hyperlink" Target="https://media-cldnry.s-nbcnews.com/image/upload/t_focal-760x428,f_auto,q_auto:best/MSNBC/Components/Video/__NEW/nn_11bwi_obit_130708.jpg" TargetMode="External"/><Relationship Id="rId48" Type="http://schemas.openxmlformats.org/officeDocument/2006/relationships/hyperlink" Target="https://www.nature.com/articles/nature10800" TargetMode="External"/><Relationship Id="rId8" Type="http://schemas.openxmlformats.org/officeDocument/2006/relationships/hyperlink" Target="https://www.apartmenttherapy.com/use-vanilla-extract-to-make-you-152035" TargetMode="External"/><Relationship Id="rId51" Type="http://schemas.openxmlformats.org/officeDocument/2006/relationships/hyperlink" Target="https://www.intuiwell.com/better-sleep/the-fake-blink-a-neuroscience-backed-trick-to-fall-asleep-faster/" TargetMode="External"/><Relationship Id="rId3" Type="http://schemas.openxmlformats.org/officeDocument/2006/relationships/hyperlink" Target="https://edition.cnn.com/travel/article/worlds-shortest-flight-orkney-scotland" TargetMode="External"/><Relationship Id="rId12" Type="http://schemas.openxmlformats.org/officeDocument/2006/relationships/hyperlink" Target="https://library.osu.edu/site/40stories/2022/04/06/the-bet-that-led-to-green-eggs-and-ham/" TargetMode="External"/><Relationship Id="rId17" Type="http://schemas.openxmlformats.org/officeDocument/2006/relationships/hyperlink" Target="https://classicalanthology.theclassicslibrary.com/2017/03/28/the-apple-of-love/" TargetMode="External"/><Relationship Id="rId25" Type="http://schemas.openxmlformats.org/officeDocument/2006/relationships/hyperlink" Target="https://www.merriam-webster.com/wordplay/word-history-of-weird" TargetMode="External"/><Relationship Id="rId33" Type="http://schemas.openxmlformats.org/officeDocument/2006/relationships/hyperlink" Target="https://www.sciencedirect.com/science/article/abs/pii/S0165032712005873" TargetMode="External"/><Relationship Id="rId38" Type="http://schemas.openxmlformats.org/officeDocument/2006/relationships/hyperlink" Target="https://en.wikipedia.org/wiki/Hell,_Norway" TargetMode="External"/><Relationship Id="rId46" Type="http://schemas.openxmlformats.org/officeDocument/2006/relationships/hyperlink" Target="https://www.samsung.com/au/support/home-appliances/microwave-turn-off-sound/" TargetMode="External"/><Relationship Id="rId20" Type="http://schemas.openxmlformats.org/officeDocument/2006/relationships/hyperlink" Target="https://www.hhs.gov/sites/default/files/surgeon-general-social-connection-advisory.pdf" TargetMode="External"/><Relationship Id="rId41" Type="http://schemas.openxmlformats.org/officeDocument/2006/relationships/hyperlink" Target="https://www.history.com/this-day-in-history/october-17/london-beer-flood" TargetMode="External"/><Relationship Id="rId1" Type="http://schemas.openxmlformats.org/officeDocument/2006/relationships/hyperlink" Target="https://www.theheraldrysociety.com/wp-content/uploads/2018/03/Royal-Arms-of-Scotland-2-1200x600.jpg" TargetMode="External"/><Relationship Id="rId6" Type="http://schemas.openxmlformats.org/officeDocument/2006/relationships/hyperlink" Target="https://japanesetaste.com/blogs/japanese-taste-blog/all-about-japan-s-square-shaped-watermelons?redirectedFrom=int" TargetMode="External"/><Relationship Id="rId15" Type="http://schemas.openxmlformats.org/officeDocument/2006/relationships/hyperlink" Target="https://thefactbase.com/the-average-amount-of-time-a-woman-can-keep-a-secret-is-47-hours-and-15-minutes/" TargetMode="External"/><Relationship Id="rId23" Type="http://schemas.openxmlformats.org/officeDocument/2006/relationships/hyperlink" Target="https://www.loc.gov/everyday-mysteries/zoology/item/can-crickets-tell-the-temperature/" TargetMode="External"/><Relationship Id="rId28" Type="http://schemas.openxmlformats.org/officeDocument/2006/relationships/hyperlink" Target="https://www.nps.gov/anjo/learn/historyculture/death-of-president-andrew-johnson.htm" TargetMode="External"/><Relationship Id="rId36" Type="http://schemas.openxmlformats.org/officeDocument/2006/relationships/hyperlink" Target="https://www.gesetze-im-internet.de/stvo_2013/__18.html" TargetMode="External"/><Relationship Id="rId49" Type="http://schemas.openxmlformats.org/officeDocument/2006/relationships/hyperlink" Target="https://en.as.com/meristation/news/the-heartwarming-rumor-about-robin-williams-and-his-movies-n/"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389E8-7B45-4E12-8549-5FD8AEE25522}">
  <dimension ref="A1:G105"/>
  <sheetViews>
    <sheetView topLeftCell="C70" workbookViewId="0">
      <selection activeCell="F2" sqref="F2:F85"/>
    </sheetView>
  </sheetViews>
  <sheetFormatPr defaultRowHeight="14.5" x14ac:dyDescent="0.35"/>
  <cols>
    <col min="1" max="1" width="5.6328125" customWidth="1"/>
    <col min="2" max="2" width="27.7265625" customWidth="1"/>
    <col min="3" max="3" width="34.453125" customWidth="1"/>
    <col min="4" max="4" width="27.36328125" customWidth="1"/>
    <col min="5" max="5" width="13.1796875" customWidth="1"/>
    <col min="6" max="6" width="24.36328125" customWidth="1"/>
    <col min="7" max="7" width="30.1796875" customWidth="1"/>
    <col min="8" max="8" width="51.90625" bestFit="1" customWidth="1"/>
  </cols>
  <sheetData>
    <row r="1" spans="1:7" x14ac:dyDescent="0.35">
      <c r="A1" t="s">
        <v>0</v>
      </c>
      <c r="B1" t="s">
        <v>1</v>
      </c>
      <c r="C1" t="s">
        <v>137</v>
      </c>
      <c r="D1" t="s">
        <v>138</v>
      </c>
      <c r="E1" t="s">
        <v>2</v>
      </c>
      <c r="F1" t="s">
        <v>3</v>
      </c>
      <c r="G1" t="s">
        <v>140</v>
      </c>
    </row>
    <row r="2" spans="1:7" x14ac:dyDescent="0.35">
      <c r="A2" s="1" t="s">
        <v>4</v>
      </c>
      <c r="B2" s="4" t="s">
        <v>5</v>
      </c>
      <c r="D2" s="3" t="s">
        <v>228</v>
      </c>
      <c r="F2" t="s">
        <v>67</v>
      </c>
    </row>
    <row r="3" spans="1:7" x14ac:dyDescent="0.35">
      <c r="A3" t="s">
        <v>7</v>
      </c>
      <c r="B3" s="4" t="s">
        <v>151</v>
      </c>
      <c r="C3" t="s">
        <v>139</v>
      </c>
      <c r="D3" t="s">
        <v>8</v>
      </c>
      <c r="F3" t="s">
        <v>141</v>
      </c>
    </row>
    <row r="4" spans="1:7" x14ac:dyDescent="0.35">
      <c r="A4" t="s">
        <v>9</v>
      </c>
      <c r="B4" s="4" t="s">
        <v>152</v>
      </c>
      <c r="C4" t="s">
        <v>144</v>
      </c>
      <c r="D4" s="3" t="s">
        <v>143</v>
      </c>
      <c r="F4" t="s">
        <v>124</v>
      </c>
      <c r="G4" s="3" t="s">
        <v>142</v>
      </c>
    </row>
    <row r="5" spans="1:7" x14ac:dyDescent="0.35">
      <c r="A5" t="s">
        <v>10</v>
      </c>
      <c r="B5" s="4" t="s">
        <v>153</v>
      </c>
      <c r="C5" t="s">
        <v>146</v>
      </c>
      <c r="D5" s="3" t="s">
        <v>11</v>
      </c>
      <c r="F5" t="s">
        <v>121</v>
      </c>
      <c r="G5" s="3" t="s">
        <v>145</v>
      </c>
    </row>
    <row r="6" spans="1:7" x14ac:dyDescent="0.35">
      <c r="A6" t="s">
        <v>12</v>
      </c>
      <c r="B6" s="4" t="s">
        <v>154</v>
      </c>
      <c r="D6" t="s">
        <v>13</v>
      </c>
      <c r="F6" t="s">
        <v>270</v>
      </c>
    </row>
    <row r="7" spans="1:7" x14ac:dyDescent="0.35">
      <c r="A7" t="s">
        <v>14</v>
      </c>
      <c r="B7" s="4" t="s">
        <v>155</v>
      </c>
      <c r="D7" s="3" t="s">
        <v>15</v>
      </c>
      <c r="F7" t="s">
        <v>128</v>
      </c>
    </row>
    <row r="8" spans="1:7" x14ac:dyDescent="0.35">
      <c r="A8" t="s">
        <v>16</v>
      </c>
      <c r="B8" s="4" t="s">
        <v>17</v>
      </c>
      <c r="C8" t="s">
        <v>148</v>
      </c>
      <c r="D8" s="3" t="s">
        <v>147</v>
      </c>
      <c r="F8" t="s">
        <v>121</v>
      </c>
    </row>
    <row r="9" spans="1:7" x14ac:dyDescent="0.35">
      <c r="A9" t="s">
        <v>18</v>
      </c>
      <c r="B9" s="4" t="s">
        <v>156</v>
      </c>
      <c r="C9" t="s">
        <v>150</v>
      </c>
      <c r="D9" t="s">
        <v>19</v>
      </c>
      <c r="F9" t="s">
        <v>20</v>
      </c>
      <c r="G9" s="3" t="s">
        <v>149</v>
      </c>
    </row>
    <row r="10" spans="1:7" x14ac:dyDescent="0.35">
      <c r="A10" t="s">
        <v>21</v>
      </c>
      <c r="B10" s="4" t="s">
        <v>157</v>
      </c>
      <c r="D10" t="s">
        <v>22</v>
      </c>
      <c r="F10" t="s">
        <v>6</v>
      </c>
    </row>
    <row r="11" spans="1:7" x14ac:dyDescent="0.35">
      <c r="A11" t="s">
        <v>23</v>
      </c>
      <c r="B11" s="4" t="s">
        <v>158</v>
      </c>
      <c r="D11" t="s">
        <v>24</v>
      </c>
      <c r="F11" t="s">
        <v>25</v>
      </c>
    </row>
    <row r="12" spans="1:7" x14ac:dyDescent="0.35">
      <c r="A12" t="s">
        <v>26</v>
      </c>
      <c r="B12" s="4" t="s">
        <v>159</v>
      </c>
      <c r="D12" s="3" t="s">
        <v>227</v>
      </c>
      <c r="F12" t="s">
        <v>121</v>
      </c>
    </row>
    <row r="13" spans="1:7" x14ac:dyDescent="0.35">
      <c r="A13" t="s">
        <v>27</v>
      </c>
      <c r="B13" s="4" t="s">
        <v>160</v>
      </c>
      <c r="D13" s="3" t="s">
        <v>226</v>
      </c>
      <c r="F13" t="s">
        <v>28</v>
      </c>
    </row>
    <row r="14" spans="1:7" x14ac:dyDescent="0.35">
      <c r="A14" t="s">
        <v>29</v>
      </c>
      <c r="B14" s="4" t="s">
        <v>282</v>
      </c>
      <c r="D14" s="3" t="s">
        <v>283</v>
      </c>
      <c r="F14" t="s">
        <v>30</v>
      </c>
    </row>
    <row r="15" spans="1:7" x14ac:dyDescent="0.35">
      <c r="A15" t="s">
        <v>31</v>
      </c>
      <c r="B15" s="4" t="s">
        <v>161</v>
      </c>
      <c r="C15" t="s">
        <v>224</v>
      </c>
      <c r="D15" t="s">
        <v>32</v>
      </c>
      <c r="F15" t="s">
        <v>33</v>
      </c>
    </row>
    <row r="16" spans="1:7" x14ac:dyDescent="0.35">
      <c r="A16" t="s">
        <v>34</v>
      </c>
      <c r="B16" s="4" t="s">
        <v>162</v>
      </c>
      <c r="D16" t="s">
        <v>35</v>
      </c>
      <c r="F16" t="s">
        <v>20</v>
      </c>
    </row>
    <row r="17" spans="1:6" x14ac:dyDescent="0.35">
      <c r="A17" t="s">
        <v>36</v>
      </c>
      <c r="B17" s="4" t="s">
        <v>163</v>
      </c>
      <c r="D17" t="s">
        <v>37</v>
      </c>
      <c r="F17" t="s">
        <v>271</v>
      </c>
    </row>
    <row r="18" spans="1:6" x14ac:dyDescent="0.35">
      <c r="A18" t="s">
        <v>38</v>
      </c>
      <c r="B18" s="4" t="s">
        <v>164</v>
      </c>
      <c r="D18" t="s">
        <v>39</v>
      </c>
      <c r="F18" t="s">
        <v>30</v>
      </c>
    </row>
    <row r="19" spans="1:6" x14ac:dyDescent="0.35">
      <c r="A19" t="s">
        <v>40</v>
      </c>
      <c r="B19" s="4" t="s">
        <v>165</v>
      </c>
      <c r="C19" t="s">
        <v>225</v>
      </c>
      <c r="D19" s="3" t="s">
        <v>229</v>
      </c>
      <c r="F19" t="s">
        <v>278</v>
      </c>
    </row>
    <row r="20" spans="1:6" x14ac:dyDescent="0.35">
      <c r="A20" t="s">
        <v>41</v>
      </c>
      <c r="B20" s="4" t="s">
        <v>166</v>
      </c>
      <c r="D20" t="s">
        <v>42</v>
      </c>
      <c r="F20" t="s">
        <v>43</v>
      </c>
    </row>
    <row r="21" spans="1:6" x14ac:dyDescent="0.35">
      <c r="A21" t="s">
        <v>44</v>
      </c>
      <c r="B21" s="4" t="s">
        <v>167</v>
      </c>
      <c r="C21" t="s">
        <v>45</v>
      </c>
      <c r="D21" s="3" t="s">
        <v>230</v>
      </c>
      <c r="F21" t="s">
        <v>20</v>
      </c>
    </row>
    <row r="22" spans="1:6" x14ac:dyDescent="0.35">
      <c r="A22" t="s">
        <v>46</v>
      </c>
      <c r="B22" s="4" t="s">
        <v>168</v>
      </c>
      <c r="D22" t="s">
        <v>47</v>
      </c>
      <c r="F22" t="s">
        <v>80</v>
      </c>
    </row>
    <row r="23" spans="1:6" x14ac:dyDescent="0.35">
      <c r="A23" t="s">
        <v>48</v>
      </c>
      <c r="B23" s="4" t="s">
        <v>169</v>
      </c>
      <c r="D23" t="s">
        <v>49</v>
      </c>
      <c r="F23" t="s">
        <v>135</v>
      </c>
    </row>
    <row r="24" spans="1:6" x14ac:dyDescent="0.35">
      <c r="A24" t="s">
        <v>50</v>
      </c>
      <c r="B24" s="4" t="s">
        <v>170</v>
      </c>
      <c r="D24" t="s">
        <v>51</v>
      </c>
      <c r="F24" t="s">
        <v>279</v>
      </c>
    </row>
    <row r="25" spans="1:6" x14ac:dyDescent="0.35">
      <c r="A25" t="s">
        <v>52</v>
      </c>
      <c r="B25" s="4" t="s">
        <v>171</v>
      </c>
      <c r="D25" t="s">
        <v>53</v>
      </c>
      <c r="F25" t="s">
        <v>25</v>
      </c>
    </row>
    <row r="26" spans="1:6" x14ac:dyDescent="0.35">
      <c r="A26" t="s">
        <v>54</v>
      </c>
      <c r="B26" s="4" t="s">
        <v>172</v>
      </c>
      <c r="D26" t="s">
        <v>55</v>
      </c>
      <c r="F26" t="s">
        <v>30</v>
      </c>
    </row>
    <row r="27" spans="1:6" x14ac:dyDescent="0.35">
      <c r="A27" s="1" t="s">
        <v>56</v>
      </c>
      <c r="B27" s="4" t="s">
        <v>173</v>
      </c>
      <c r="D27" t="s">
        <v>57</v>
      </c>
      <c r="F27" t="s">
        <v>125</v>
      </c>
    </row>
    <row r="28" spans="1:6" x14ac:dyDescent="0.35">
      <c r="A28" t="s">
        <v>58</v>
      </c>
      <c r="B28" s="4" t="s">
        <v>174</v>
      </c>
      <c r="D28" t="s">
        <v>59</v>
      </c>
      <c r="F28" t="s">
        <v>25</v>
      </c>
    </row>
    <row r="29" spans="1:6" x14ac:dyDescent="0.35">
      <c r="A29" t="s">
        <v>60</v>
      </c>
      <c r="B29" s="4" t="s">
        <v>175</v>
      </c>
      <c r="D29" t="s">
        <v>61</v>
      </c>
      <c r="F29" t="s">
        <v>272</v>
      </c>
    </row>
    <row r="30" spans="1:6" x14ac:dyDescent="0.35">
      <c r="A30" t="s">
        <v>62</v>
      </c>
      <c r="B30" s="4" t="s">
        <v>176</v>
      </c>
      <c r="D30" t="s">
        <v>63</v>
      </c>
      <c r="F30" t="s">
        <v>6</v>
      </c>
    </row>
    <row r="31" spans="1:6" x14ac:dyDescent="0.35">
      <c r="A31" t="s">
        <v>64</v>
      </c>
      <c r="B31" s="4" t="s">
        <v>177</v>
      </c>
      <c r="C31" t="s">
        <v>65</v>
      </c>
      <c r="D31" s="3" t="s">
        <v>231</v>
      </c>
      <c r="F31" t="s">
        <v>130</v>
      </c>
    </row>
    <row r="32" spans="1:6" x14ac:dyDescent="0.35">
      <c r="A32" t="s">
        <v>66</v>
      </c>
      <c r="B32" s="4" t="s">
        <v>178</v>
      </c>
      <c r="C32" t="s">
        <v>233</v>
      </c>
      <c r="D32" s="3" t="s">
        <v>232</v>
      </c>
      <c r="F32" t="s">
        <v>67</v>
      </c>
    </row>
    <row r="33" spans="1:6" x14ac:dyDescent="0.35">
      <c r="A33" t="s">
        <v>68</v>
      </c>
      <c r="B33" s="4" t="s">
        <v>179</v>
      </c>
      <c r="D33" s="3" t="s">
        <v>69</v>
      </c>
      <c r="F33" t="s">
        <v>122</v>
      </c>
    </row>
    <row r="34" spans="1:6" x14ac:dyDescent="0.35">
      <c r="A34" t="s">
        <v>70</v>
      </c>
      <c r="B34" s="4" t="s">
        <v>180</v>
      </c>
      <c r="D34" t="s">
        <v>71</v>
      </c>
      <c r="F34" t="s">
        <v>20</v>
      </c>
    </row>
    <row r="35" spans="1:6" x14ac:dyDescent="0.35">
      <c r="A35" t="s">
        <v>72</v>
      </c>
      <c r="B35" s="4" t="s">
        <v>181</v>
      </c>
      <c r="D35" t="s">
        <v>73</v>
      </c>
      <c r="F35" t="s">
        <v>122</v>
      </c>
    </row>
    <row r="36" spans="1:6" x14ac:dyDescent="0.35">
      <c r="A36" t="s">
        <v>74</v>
      </c>
      <c r="B36" s="4" t="s">
        <v>182</v>
      </c>
      <c r="D36" t="s">
        <v>75</v>
      </c>
      <c r="F36" t="s">
        <v>129</v>
      </c>
    </row>
    <row r="37" spans="1:6" x14ac:dyDescent="0.35">
      <c r="A37" t="s">
        <v>76</v>
      </c>
      <c r="B37" s="4" t="s">
        <v>183</v>
      </c>
      <c r="C37" t="s">
        <v>77</v>
      </c>
      <c r="D37" s="3" t="s">
        <v>234</v>
      </c>
      <c r="F37" t="s">
        <v>121</v>
      </c>
    </row>
    <row r="38" spans="1:6" x14ac:dyDescent="0.35">
      <c r="A38" t="s">
        <v>78</v>
      </c>
      <c r="B38" s="4" t="s">
        <v>184</v>
      </c>
      <c r="D38" t="s">
        <v>79</v>
      </c>
      <c r="F38" t="s">
        <v>80</v>
      </c>
    </row>
    <row r="39" spans="1:6" x14ac:dyDescent="0.35">
      <c r="A39" t="s">
        <v>81</v>
      </c>
      <c r="B39" s="4" t="s">
        <v>185</v>
      </c>
      <c r="D39" t="s">
        <v>82</v>
      </c>
      <c r="F39" t="s">
        <v>83</v>
      </c>
    </row>
    <row r="40" spans="1:6" x14ac:dyDescent="0.35">
      <c r="B40" s="4" t="s">
        <v>186</v>
      </c>
      <c r="D40" s="3" t="s">
        <v>235</v>
      </c>
      <c r="F40" t="s">
        <v>131</v>
      </c>
    </row>
    <row r="41" spans="1:6" x14ac:dyDescent="0.35">
      <c r="B41" s="4" t="s">
        <v>187</v>
      </c>
      <c r="D41" s="3" t="s">
        <v>236</v>
      </c>
      <c r="F41" t="s">
        <v>6</v>
      </c>
    </row>
    <row r="42" spans="1:6" x14ac:dyDescent="0.35">
      <c r="B42" s="4" t="s">
        <v>188</v>
      </c>
      <c r="C42" t="s">
        <v>237</v>
      </c>
      <c r="D42" s="3" t="s">
        <v>238</v>
      </c>
      <c r="F42" t="s">
        <v>126</v>
      </c>
    </row>
    <row r="43" spans="1:6" x14ac:dyDescent="0.35">
      <c r="B43" s="4" t="s">
        <v>189</v>
      </c>
      <c r="D43" s="3" t="s">
        <v>239</v>
      </c>
      <c r="F43" t="s">
        <v>122</v>
      </c>
    </row>
    <row r="44" spans="1:6" x14ac:dyDescent="0.35">
      <c r="B44" s="4" t="s">
        <v>190</v>
      </c>
      <c r="D44" s="3" t="s">
        <v>240</v>
      </c>
      <c r="F44" t="s">
        <v>20</v>
      </c>
    </row>
    <row r="45" spans="1:6" x14ac:dyDescent="0.35">
      <c r="B45" s="4" t="s">
        <v>191</v>
      </c>
      <c r="D45" s="3" t="s">
        <v>241</v>
      </c>
      <c r="F45" t="s">
        <v>120</v>
      </c>
    </row>
    <row r="46" spans="1:6" x14ac:dyDescent="0.35">
      <c r="B46" s="4" t="s">
        <v>192</v>
      </c>
      <c r="D46" s="3" t="s">
        <v>281</v>
      </c>
      <c r="F46" t="s">
        <v>28</v>
      </c>
    </row>
    <row r="47" spans="1:6" x14ac:dyDescent="0.35">
      <c r="B47" s="4" t="s">
        <v>193</v>
      </c>
      <c r="D47" s="3" t="s">
        <v>280</v>
      </c>
      <c r="F47" t="s">
        <v>136</v>
      </c>
    </row>
    <row r="48" spans="1:6" x14ac:dyDescent="0.35">
      <c r="B48" s="4" t="s">
        <v>194</v>
      </c>
      <c r="D48" s="3" t="s">
        <v>242</v>
      </c>
      <c r="F48" t="s">
        <v>273</v>
      </c>
    </row>
    <row r="49" spans="2:7" x14ac:dyDescent="0.35">
      <c r="B49" s="4" t="s">
        <v>287</v>
      </c>
      <c r="D49" t="s">
        <v>243</v>
      </c>
      <c r="F49" t="s">
        <v>122</v>
      </c>
    </row>
    <row r="50" spans="2:7" x14ac:dyDescent="0.35">
      <c r="B50" s="4" t="s">
        <v>195</v>
      </c>
      <c r="C50" t="s">
        <v>286</v>
      </c>
      <c r="D50" s="3" t="s">
        <v>285</v>
      </c>
      <c r="F50" t="s">
        <v>20</v>
      </c>
    </row>
    <row r="51" spans="2:7" x14ac:dyDescent="0.35">
      <c r="B51" s="4" t="s">
        <v>196</v>
      </c>
      <c r="D51" s="3" t="s">
        <v>284</v>
      </c>
      <c r="F51" t="s">
        <v>127</v>
      </c>
    </row>
    <row r="52" spans="2:7" x14ac:dyDescent="0.35">
      <c r="B52" s="4" t="s">
        <v>197</v>
      </c>
      <c r="D52" s="3" t="s">
        <v>244</v>
      </c>
      <c r="F52" t="s">
        <v>30</v>
      </c>
    </row>
    <row r="53" spans="2:7" x14ac:dyDescent="0.35">
      <c r="B53" s="4" t="s">
        <v>198</v>
      </c>
      <c r="C53" t="s">
        <v>84</v>
      </c>
      <c r="D53" s="3" t="s">
        <v>245</v>
      </c>
      <c r="F53" t="s">
        <v>132</v>
      </c>
    </row>
    <row r="54" spans="2:7" x14ac:dyDescent="0.35">
      <c r="B54" s="4" t="s">
        <v>199</v>
      </c>
      <c r="C54" t="s">
        <v>86</v>
      </c>
      <c r="D54" t="s">
        <v>85</v>
      </c>
      <c r="F54" t="s">
        <v>30</v>
      </c>
    </row>
    <row r="55" spans="2:7" x14ac:dyDescent="0.35">
      <c r="B55" s="4" t="s">
        <v>200</v>
      </c>
      <c r="C55" t="s">
        <v>88</v>
      </c>
      <c r="D55" t="s">
        <v>87</v>
      </c>
      <c r="F55" t="s">
        <v>132</v>
      </c>
    </row>
    <row r="56" spans="2:7" x14ac:dyDescent="0.35">
      <c r="B56" s="4" t="s">
        <v>201</v>
      </c>
      <c r="C56" t="s">
        <v>89</v>
      </c>
      <c r="D56" s="3" t="s">
        <v>246</v>
      </c>
      <c r="F56" t="s">
        <v>30</v>
      </c>
    </row>
    <row r="57" spans="2:7" x14ac:dyDescent="0.35">
      <c r="B57" s="4" t="s">
        <v>202</v>
      </c>
      <c r="C57" t="s">
        <v>90</v>
      </c>
      <c r="D57" s="3" t="s">
        <v>247</v>
      </c>
      <c r="F57" t="s">
        <v>30</v>
      </c>
    </row>
    <row r="58" spans="2:7" x14ac:dyDescent="0.35">
      <c r="B58" s="4" t="s">
        <v>203</v>
      </c>
      <c r="C58" t="s">
        <v>91</v>
      </c>
      <c r="D58" s="3" t="s">
        <v>248</v>
      </c>
      <c r="F58" t="s">
        <v>119</v>
      </c>
    </row>
    <row r="59" spans="2:7" x14ac:dyDescent="0.35">
      <c r="B59" s="4" t="s">
        <v>204</v>
      </c>
      <c r="C59" t="s">
        <v>93</v>
      </c>
      <c r="D59" t="s">
        <v>92</v>
      </c>
      <c r="F59" t="s">
        <v>121</v>
      </c>
      <c r="G59" t="s">
        <v>94</v>
      </c>
    </row>
    <row r="60" spans="2:7" x14ac:dyDescent="0.35">
      <c r="B60" s="4" t="s">
        <v>205</v>
      </c>
      <c r="C60" t="s">
        <v>95</v>
      </c>
      <c r="D60" s="3" t="s">
        <v>249</v>
      </c>
      <c r="F60" t="s">
        <v>20</v>
      </c>
    </row>
    <row r="61" spans="2:7" x14ac:dyDescent="0.35">
      <c r="B61" s="4" t="s">
        <v>288</v>
      </c>
      <c r="C61" t="s">
        <v>96</v>
      </c>
      <c r="D61" s="3" t="s">
        <v>250</v>
      </c>
      <c r="F61" t="s">
        <v>133</v>
      </c>
    </row>
    <row r="62" spans="2:7" x14ac:dyDescent="0.35">
      <c r="B62" s="4" t="s">
        <v>206</v>
      </c>
      <c r="C62" t="s">
        <v>97</v>
      </c>
      <c r="D62" s="3" t="s">
        <v>251</v>
      </c>
      <c r="F62" t="s">
        <v>274</v>
      </c>
    </row>
    <row r="63" spans="2:7" x14ac:dyDescent="0.35">
      <c r="B63" s="4" t="s">
        <v>207</v>
      </c>
      <c r="C63" t="s">
        <v>98</v>
      </c>
      <c r="D63" s="3" t="s">
        <v>252</v>
      </c>
      <c r="F63" t="s">
        <v>121</v>
      </c>
    </row>
    <row r="64" spans="2:7" x14ac:dyDescent="0.35">
      <c r="B64" s="4" t="s">
        <v>208</v>
      </c>
      <c r="C64" t="s">
        <v>99</v>
      </c>
      <c r="D64" s="3" t="s">
        <v>253</v>
      </c>
      <c r="F64" t="s">
        <v>274</v>
      </c>
    </row>
    <row r="65" spans="2:7" x14ac:dyDescent="0.35">
      <c r="B65" s="4" t="s">
        <v>209</v>
      </c>
      <c r="C65" t="s">
        <v>100</v>
      </c>
      <c r="D65" s="3" t="s">
        <v>254</v>
      </c>
      <c r="F65" t="s">
        <v>101</v>
      </c>
    </row>
    <row r="66" spans="2:7" x14ac:dyDescent="0.35">
      <c r="B66" s="4" t="s">
        <v>210</v>
      </c>
      <c r="C66" t="s">
        <v>102</v>
      </c>
      <c r="D66" s="3" t="s">
        <v>255</v>
      </c>
      <c r="F66" t="s">
        <v>275</v>
      </c>
    </row>
    <row r="67" spans="2:7" x14ac:dyDescent="0.35">
      <c r="B67" s="4" t="s">
        <v>211</v>
      </c>
      <c r="C67" t="s">
        <v>103</v>
      </c>
      <c r="D67" s="3" t="s">
        <v>256</v>
      </c>
      <c r="F67" t="s">
        <v>125</v>
      </c>
    </row>
    <row r="68" spans="2:7" x14ac:dyDescent="0.35">
      <c r="B68" s="4" t="s">
        <v>212</v>
      </c>
      <c r="C68" t="s">
        <v>104</v>
      </c>
      <c r="D68" s="3" t="s">
        <v>257</v>
      </c>
      <c r="F68" t="s">
        <v>119</v>
      </c>
      <c r="G68" t="s">
        <v>105</v>
      </c>
    </row>
    <row r="69" spans="2:7" x14ac:dyDescent="0.35">
      <c r="B69" s="4" t="s">
        <v>213</v>
      </c>
      <c r="C69" t="s">
        <v>107</v>
      </c>
      <c r="D69" t="s">
        <v>106</v>
      </c>
      <c r="F69" t="s">
        <v>108</v>
      </c>
    </row>
    <row r="70" spans="2:7" x14ac:dyDescent="0.35">
      <c r="B70" s="4" t="s">
        <v>109</v>
      </c>
      <c r="D70" t="s">
        <v>110</v>
      </c>
      <c r="F70" t="s">
        <v>20</v>
      </c>
    </row>
    <row r="71" spans="2:7" x14ac:dyDescent="0.35">
      <c r="B71" s="4" t="s">
        <v>214</v>
      </c>
      <c r="D71" s="3" t="s">
        <v>258</v>
      </c>
      <c r="F71" t="s">
        <v>121</v>
      </c>
    </row>
    <row r="72" spans="2:7" x14ac:dyDescent="0.35">
      <c r="B72" s="4" t="s">
        <v>215</v>
      </c>
      <c r="D72" s="3" t="s">
        <v>259</v>
      </c>
      <c r="F72" t="s">
        <v>25</v>
      </c>
    </row>
    <row r="73" spans="2:7" x14ac:dyDescent="0.35">
      <c r="B73" s="4" t="s">
        <v>216</v>
      </c>
      <c r="D73" s="3" t="s">
        <v>260</v>
      </c>
      <c r="F73" t="s">
        <v>133</v>
      </c>
    </row>
    <row r="74" spans="2:7" x14ac:dyDescent="0.35">
      <c r="B74" s="4" t="s">
        <v>217</v>
      </c>
      <c r="D74" s="3" t="s">
        <v>261</v>
      </c>
      <c r="F74" t="s">
        <v>134</v>
      </c>
    </row>
    <row r="75" spans="2:7" x14ac:dyDescent="0.35">
      <c r="B75" s="4" t="s">
        <v>262</v>
      </c>
      <c r="C75" t="s">
        <v>265</v>
      </c>
      <c r="D75" s="3" t="s">
        <v>263</v>
      </c>
      <c r="F75" t="s">
        <v>20</v>
      </c>
      <c r="G75" s="3" t="s">
        <v>264</v>
      </c>
    </row>
    <row r="76" spans="2:7" x14ac:dyDescent="0.35">
      <c r="B76" s="4" t="s">
        <v>218</v>
      </c>
      <c r="C76" t="s">
        <v>269</v>
      </c>
      <c r="D76" t="s">
        <v>268</v>
      </c>
      <c r="F76" t="s">
        <v>20</v>
      </c>
    </row>
    <row r="77" spans="2:7" x14ac:dyDescent="0.35">
      <c r="B77" s="4" t="s">
        <v>219</v>
      </c>
      <c r="C77" t="s">
        <v>266</v>
      </c>
      <c r="D77" s="3" t="s">
        <v>267</v>
      </c>
      <c r="F77" t="s">
        <v>67</v>
      </c>
    </row>
    <row r="78" spans="2:7" x14ac:dyDescent="0.35">
      <c r="B78" s="4" t="s">
        <v>220</v>
      </c>
      <c r="C78" t="s">
        <v>112</v>
      </c>
      <c r="D78" t="s">
        <v>111</v>
      </c>
      <c r="F78" t="s">
        <v>119</v>
      </c>
    </row>
    <row r="79" spans="2:7" x14ac:dyDescent="0.35">
      <c r="B79" s="4" t="s">
        <v>113</v>
      </c>
      <c r="D79" t="s">
        <v>114</v>
      </c>
      <c r="F79" t="s">
        <v>119</v>
      </c>
    </row>
    <row r="80" spans="2:7" x14ac:dyDescent="0.35">
      <c r="B80" s="4" t="s">
        <v>221</v>
      </c>
      <c r="C80" t="s">
        <v>115</v>
      </c>
      <c r="D80" t="s">
        <v>111</v>
      </c>
      <c r="F80" t="s">
        <v>276</v>
      </c>
    </row>
    <row r="81" spans="1:7" x14ac:dyDescent="0.35">
      <c r="B81" s="4" t="s">
        <v>222</v>
      </c>
      <c r="D81" t="s">
        <v>110</v>
      </c>
      <c r="F81" t="s">
        <v>20</v>
      </c>
    </row>
    <row r="82" spans="1:7" x14ac:dyDescent="0.35">
      <c r="B82" s="4" t="s">
        <v>223</v>
      </c>
      <c r="C82" t="s">
        <v>117</v>
      </c>
      <c r="D82" t="s">
        <v>116</v>
      </c>
      <c r="F82" t="s">
        <v>277</v>
      </c>
    </row>
    <row r="83" spans="1:7" x14ac:dyDescent="0.35">
      <c r="B83" s="4" t="s">
        <v>291</v>
      </c>
      <c r="C83" t="s">
        <v>290</v>
      </c>
      <c r="D83" s="3" t="s">
        <v>289</v>
      </c>
      <c r="F83" t="s">
        <v>292</v>
      </c>
    </row>
    <row r="84" spans="1:7" s="4" customFormat="1" x14ac:dyDescent="0.35">
      <c r="B84" s="4" t="s">
        <v>295</v>
      </c>
      <c r="C84" s="4" t="s">
        <v>294</v>
      </c>
      <c r="D84" s="5" t="s">
        <v>293</v>
      </c>
      <c r="F84" t="s">
        <v>296</v>
      </c>
    </row>
    <row r="85" spans="1:7" x14ac:dyDescent="0.35">
      <c r="A85" s="2"/>
      <c r="B85" s="7"/>
      <c r="C85" s="2"/>
      <c r="D85" s="2"/>
      <c r="E85" s="2"/>
      <c r="F85" s="2"/>
      <c r="G85" s="2"/>
    </row>
    <row r="86" spans="1:7" x14ac:dyDescent="0.35">
      <c r="A86" t="s">
        <v>297</v>
      </c>
      <c r="B86" s="4"/>
    </row>
    <row r="87" spans="1:7" x14ac:dyDescent="0.35">
      <c r="A87" s="2"/>
      <c r="B87" s="2"/>
      <c r="C87" s="2"/>
      <c r="D87" s="2"/>
      <c r="E87" s="2"/>
      <c r="F87" s="2"/>
      <c r="G87" s="2"/>
    </row>
    <row r="88" spans="1:7" x14ac:dyDescent="0.35">
      <c r="A88" s="2"/>
      <c r="B88" s="2"/>
      <c r="C88" s="2"/>
      <c r="D88" s="2"/>
      <c r="E88" s="2"/>
      <c r="F88" s="2"/>
      <c r="G88" s="2"/>
    </row>
    <row r="89" spans="1:7" x14ac:dyDescent="0.35">
      <c r="A89" s="2"/>
      <c r="B89" s="2"/>
      <c r="C89" s="2"/>
      <c r="D89" s="2"/>
      <c r="E89" s="2"/>
      <c r="F89" s="2"/>
      <c r="G89" s="2"/>
    </row>
    <row r="90" spans="1:7" x14ac:dyDescent="0.35">
      <c r="A90" s="2"/>
      <c r="B90" s="2"/>
      <c r="C90" s="2"/>
      <c r="D90" s="2"/>
      <c r="E90" s="2"/>
      <c r="F90" s="2"/>
      <c r="G90" s="2"/>
    </row>
    <row r="91" spans="1:7" x14ac:dyDescent="0.35">
      <c r="A91" s="2"/>
      <c r="B91" s="2"/>
      <c r="C91" s="2"/>
      <c r="D91" s="2"/>
      <c r="E91" s="2"/>
      <c r="F91" s="2"/>
      <c r="G91" s="2"/>
    </row>
    <row r="92" spans="1:7" x14ac:dyDescent="0.35">
      <c r="A92" s="2"/>
      <c r="B92" s="2"/>
      <c r="C92" s="2"/>
      <c r="D92" s="2"/>
      <c r="E92" s="2"/>
      <c r="F92" s="2"/>
      <c r="G92" s="2"/>
    </row>
    <row r="93" spans="1:7" x14ac:dyDescent="0.35">
      <c r="A93" s="2"/>
      <c r="B93" s="2"/>
      <c r="C93" s="2"/>
      <c r="D93" s="2"/>
      <c r="E93" s="2"/>
      <c r="F93" s="2"/>
      <c r="G93" s="2"/>
    </row>
    <row r="94" spans="1:7" x14ac:dyDescent="0.35">
      <c r="A94" s="2"/>
      <c r="B94" s="2"/>
      <c r="C94" s="2"/>
      <c r="D94" s="2"/>
      <c r="E94" s="2"/>
      <c r="F94" s="2"/>
      <c r="G94" s="2"/>
    </row>
    <row r="95" spans="1:7" x14ac:dyDescent="0.35">
      <c r="A95" s="2"/>
      <c r="B95" s="2"/>
      <c r="C95" s="2"/>
      <c r="D95" s="2"/>
      <c r="E95" s="2"/>
      <c r="F95" s="2"/>
      <c r="G95" s="2"/>
    </row>
    <row r="96" spans="1:7" x14ac:dyDescent="0.35">
      <c r="A96" s="2"/>
      <c r="B96" s="2"/>
      <c r="C96" s="2"/>
      <c r="D96" s="2"/>
      <c r="E96" s="2"/>
      <c r="F96" s="2"/>
      <c r="G96" s="2"/>
    </row>
    <row r="97" spans="1:7" x14ac:dyDescent="0.35">
      <c r="A97" s="2"/>
      <c r="B97" s="2"/>
      <c r="C97" s="2"/>
      <c r="D97" s="2"/>
      <c r="E97" s="2"/>
      <c r="F97" s="2"/>
      <c r="G97" s="2"/>
    </row>
    <row r="98" spans="1:7" x14ac:dyDescent="0.35">
      <c r="A98" s="2"/>
      <c r="B98" s="2"/>
      <c r="C98" s="2"/>
      <c r="D98" s="2"/>
      <c r="E98" s="2"/>
      <c r="F98" s="2"/>
      <c r="G98" s="2"/>
    </row>
    <row r="99" spans="1:7" x14ac:dyDescent="0.35">
      <c r="A99" s="2"/>
      <c r="B99" s="2"/>
      <c r="C99" s="2"/>
      <c r="D99" s="2"/>
      <c r="E99" s="2"/>
      <c r="F99" s="2"/>
      <c r="G99" s="2"/>
    </row>
    <row r="100" spans="1:7" x14ac:dyDescent="0.35">
      <c r="A100" s="2"/>
      <c r="B100" s="2"/>
      <c r="C100" s="2"/>
      <c r="D100" s="2"/>
      <c r="E100" s="2"/>
      <c r="F100" s="2"/>
      <c r="G100" s="2"/>
    </row>
    <row r="101" spans="1:7" x14ac:dyDescent="0.35">
      <c r="A101" s="2"/>
      <c r="B101" s="2"/>
      <c r="C101" s="2"/>
      <c r="D101" s="2"/>
      <c r="E101" s="2"/>
      <c r="F101" s="2"/>
      <c r="G101" s="2"/>
    </row>
    <row r="102" spans="1:7" x14ac:dyDescent="0.35">
      <c r="A102" s="2"/>
      <c r="B102" s="2"/>
      <c r="C102" s="2"/>
      <c r="D102" s="2"/>
      <c r="E102" s="2"/>
      <c r="F102" s="2"/>
      <c r="G102" s="2"/>
    </row>
    <row r="103" spans="1:7" x14ac:dyDescent="0.35">
      <c r="A103" s="2"/>
      <c r="B103" s="2"/>
      <c r="C103" s="2"/>
      <c r="D103" s="2"/>
      <c r="E103" s="2"/>
      <c r="F103" s="2"/>
      <c r="G103" s="2"/>
    </row>
    <row r="104" spans="1:7" x14ac:dyDescent="0.35">
      <c r="A104" s="2"/>
      <c r="B104" s="2"/>
      <c r="C104" s="2"/>
      <c r="D104" s="2"/>
      <c r="E104" s="2"/>
      <c r="F104" s="2"/>
      <c r="G104" s="2"/>
    </row>
    <row r="105" spans="1:7" x14ac:dyDescent="0.35">
      <c r="A105" s="2"/>
      <c r="B105" s="2"/>
      <c r="C105" s="2"/>
      <c r="D105" s="2"/>
      <c r="E105" s="2"/>
      <c r="F105" s="2"/>
      <c r="G105" s="2"/>
    </row>
  </sheetData>
  <hyperlinks>
    <hyperlink ref="G4" r:id="rId1" xr:uid="{77F4B1D4-D6D7-4227-B252-2627239B2FDF}"/>
    <hyperlink ref="D4" r:id="rId2" xr:uid="{C3E8810E-A028-4805-BA42-FF32D61633E8}"/>
    <hyperlink ref="D5" r:id="rId3" xr:uid="{18D39995-E263-43EA-98FC-8C804B6C3AC8}"/>
    <hyperlink ref="G5" r:id="rId4" xr:uid="{BD47BF21-6F5B-4D82-BA89-1D905CB87D1B}"/>
    <hyperlink ref="D7" r:id="rId5" xr:uid="{08BD6154-B67A-441B-9046-8184FD69AEF5}"/>
    <hyperlink ref="D8" r:id="rId6" xr:uid="{792E6FF1-4EB0-461E-8083-16A8F27C6EDC}"/>
    <hyperlink ref="G9" r:id="rId7" display="https://images-cdn.9gag.com/photo/a9yE3YW_700b.jpg" xr:uid="{05775234-6744-4641-9F08-490FB26F4FEB}"/>
    <hyperlink ref="D13" r:id="rId8" xr:uid="{AEC902C2-399F-43F3-9492-0526BC639AA4}"/>
    <hyperlink ref="D12" r:id="rId9" xr:uid="{26192651-D802-41FB-AE45-507112DAC0BA}"/>
    <hyperlink ref="D2" r:id="rId10" xr:uid="{B16A6B88-70C0-41A8-9BB7-1926B53594B2}"/>
    <hyperlink ref="D19" r:id="rId11" xr:uid="{D064AB3F-5996-4848-BD26-9CB9439F0F77}"/>
    <hyperlink ref="D21" r:id="rId12" xr:uid="{A9C08457-1009-4B99-AEFC-260B35C11F55}"/>
    <hyperlink ref="D31" r:id="rId13" xr:uid="{9BEE5B70-DD5D-4169-A76F-AACD2089D000}"/>
    <hyperlink ref="D32" r:id="rId14" xr:uid="{90885B3B-7DEA-4A0B-A96A-29E934CED388}"/>
    <hyperlink ref="D33" r:id="rId15" xr:uid="{B58B3F55-6A2F-4484-B9AC-67DF4751C2AF}"/>
    <hyperlink ref="D37" r:id="rId16" xr:uid="{A24B2019-7F7C-460D-861C-E9B0979EB5F6}"/>
    <hyperlink ref="D40" r:id="rId17" xr:uid="{BAF0ACA4-D52B-41BE-8DB2-F673B50E3AAF}"/>
    <hyperlink ref="D41" r:id="rId18" xr:uid="{FA460D22-B7F1-4CDB-BE7D-4FF5CFF299F3}"/>
    <hyperlink ref="D42" r:id="rId19" xr:uid="{1920D2E5-5ACC-435E-BE04-C6E979438626}"/>
    <hyperlink ref="D43" r:id="rId20" xr:uid="{342FBD9E-8168-40DE-A41E-AB9A40444D9E}"/>
    <hyperlink ref="D44" r:id="rId21" xr:uid="{0D07A5CE-8740-4C74-92F8-C5B081737C1C}"/>
    <hyperlink ref="D45" r:id="rId22" xr:uid="{1EC682A3-000F-4E9F-B2CD-EBB37EB902B5}"/>
    <hyperlink ref="D48" r:id="rId23" xr:uid="{0D7DA85E-B528-4463-BD3C-BE8DF5116742}"/>
    <hyperlink ref="D52" r:id="rId24" xr:uid="{67A14E4B-45BE-4BA3-85FF-D0378667E04D}"/>
    <hyperlink ref="D53" r:id="rId25" xr:uid="{FE6319A9-D42F-45EB-904C-8F12D2F3EA5B}"/>
    <hyperlink ref="D56" r:id="rId26" xr:uid="{1BE16561-ED08-4DC2-9952-FC82127138A1}"/>
    <hyperlink ref="D57" r:id="rId27" xr:uid="{CD306900-4254-4918-9F24-CD85486544BD}"/>
    <hyperlink ref="D58" r:id="rId28" xr:uid="{B6C9D432-90EF-4D6A-B68E-B78B93C64560}"/>
    <hyperlink ref="D60" r:id="rId29" xr:uid="{4FFB25A6-B6CB-432D-8AD7-9E54BF1DE5E1}"/>
    <hyperlink ref="D61" r:id="rId30" xr:uid="{75F55F94-AC65-42FB-A346-B41EB84BA0A2}"/>
    <hyperlink ref="D62" r:id="rId31" xr:uid="{BBB023F7-1F55-458A-A174-8E1199632A05}"/>
    <hyperlink ref="D63" r:id="rId32" xr:uid="{BB2F1119-862D-4F60-A4D4-EE8B52450C28}"/>
    <hyperlink ref="D64" r:id="rId33" xr:uid="{1E235281-3060-4FDD-A174-E47E14059A0A}"/>
    <hyperlink ref="D65" r:id="rId34" xr:uid="{E0AD8CC7-B2CF-4525-84C8-5BD32BEB5FF6}"/>
    <hyperlink ref="D66" r:id="rId35" xr:uid="{664F3033-864D-434D-8BBC-55FADCBAAD9E}"/>
    <hyperlink ref="D67" r:id="rId36" xr:uid="{7D3D8622-EB2B-4124-9BA7-FD28F6B07BAE}"/>
    <hyperlink ref="D68" r:id="rId37" xr:uid="{F5450125-0469-471C-8F32-1CA435FAC29A}"/>
    <hyperlink ref="D71" r:id="rId38" xr:uid="{45BB0A42-83E9-476E-A8C3-5526B32CBA15}"/>
    <hyperlink ref="D72" r:id="rId39" xr:uid="{56CE96F7-2395-41F5-8112-A9C65B854913}"/>
    <hyperlink ref="D73" r:id="rId40" xr:uid="{684C8B32-C101-45AF-8339-A24189CAE86C}"/>
    <hyperlink ref="D74" r:id="rId41" xr:uid="{81C0E8DE-DCDD-4CCD-931E-4A44F9B54EA6}"/>
    <hyperlink ref="D75" r:id="rId42" xr:uid="{1F7E2A09-384D-4107-B19D-0E911DCFDACE}"/>
    <hyperlink ref="G75" r:id="rId43" xr:uid="{9056E53F-FDC2-47FF-8F54-865D65C10445}"/>
    <hyperlink ref="D77" r:id="rId44" xr:uid="{20E2F004-1763-4139-BA39-D69B80C82454}"/>
    <hyperlink ref="D47" r:id="rId45" xr:uid="{BF70BD5A-F672-41CD-A364-D20390DF2BD2}"/>
    <hyperlink ref="D46" r:id="rId46" xr:uid="{F1A54F07-0199-4D80-95D1-21DD021B20EE}"/>
    <hyperlink ref="D14" r:id="rId47" xr:uid="{6C556AE9-3AFF-40DE-A417-81D4CED85EF2}"/>
    <hyperlink ref="D51" r:id="rId48" xr:uid="{EFF99216-3B9B-4937-A8E6-BF3B8F1F4E76}"/>
    <hyperlink ref="D50" r:id="rId49" xr:uid="{29D5C69B-E8CF-4755-9762-BAEFBD985468}"/>
    <hyperlink ref="D83" r:id="rId50" xr:uid="{3AF96E55-AE5C-4144-BA4F-396BA5BE62CD}"/>
    <hyperlink ref="D84" r:id="rId51" xr:uid="{C240F18E-230B-41A0-879C-E6FD6030BBCB}"/>
  </hyperlinks>
  <pageMargins left="0.7" right="0.7" top="0.75" bottom="0.75" header="0.3" footer="0.3"/>
  <pageSetup orientation="portrait" r:id="rId52"/>
  <tableParts count="1">
    <tablePart r:id="rId5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AF1BB-1A3D-4485-9E06-0F5197EA353D}">
  <dimension ref="A1:D12"/>
  <sheetViews>
    <sheetView tabSelected="1" workbookViewId="0">
      <selection activeCell="D12" sqref="D12"/>
    </sheetView>
  </sheetViews>
  <sheetFormatPr defaultRowHeight="14.5" x14ac:dyDescent="0.35"/>
  <cols>
    <col min="1" max="1" width="20.54296875" style="4" customWidth="1"/>
    <col min="3" max="3" width="20.26953125" bestFit="1" customWidth="1"/>
    <col min="4" max="4" width="9.90625" bestFit="1" customWidth="1"/>
    <col min="5" max="5" width="19.6328125" bestFit="1" customWidth="1"/>
    <col min="6" max="46" width="53.36328125" bestFit="1" customWidth="1"/>
    <col min="47" max="47" width="10.36328125" bestFit="1" customWidth="1"/>
    <col min="48" max="48" width="44.26953125" bestFit="1" customWidth="1"/>
    <col min="49" max="49" width="160.1796875" bestFit="1" customWidth="1"/>
    <col min="50" max="50" width="61.7265625" bestFit="1" customWidth="1"/>
    <col min="51" max="51" width="101.36328125" bestFit="1" customWidth="1"/>
    <col min="52" max="52" width="134" bestFit="1" customWidth="1"/>
    <col min="53" max="53" width="76.36328125" bestFit="1" customWidth="1"/>
    <col min="54" max="54" width="76.54296875" bestFit="1" customWidth="1"/>
    <col min="55" max="55" width="66.1796875" bestFit="1" customWidth="1"/>
    <col min="56" max="56" width="41.81640625" bestFit="1" customWidth="1"/>
    <col min="57" max="57" width="71.453125" bestFit="1" customWidth="1"/>
    <col min="58" max="58" width="136.36328125" bestFit="1" customWidth="1"/>
    <col min="59" max="59" width="92.36328125" bestFit="1" customWidth="1"/>
    <col min="60" max="60" width="125.26953125" bestFit="1" customWidth="1"/>
    <col min="61" max="61" width="73.26953125" bestFit="1" customWidth="1"/>
    <col min="62" max="62" width="29.08984375" bestFit="1" customWidth="1"/>
    <col min="63" max="63" width="55.54296875" bestFit="1" customWidth="1"/>
    <col min="64" max="64" width="108.90625" bestFit="1" customWidth="1"/>
    <col min="65" max="65" width="63" bestFit="1" customWidth="1"/>
    <col min="66" max="66" width="42.6328125" bestFit="1" customWidth="1"/>
    <col min="67" max="67" width="36.08984375" bestFit="1" customWidth="1"/>
    <col min="68" max="68" width="107.7265625" bestFit="1" customWidth="1"/>
    <col min="69" max="69" width="127" bestFit="1" customWidth="1"/>
    <col min="70" max="70" width="56.81640625" bestFit="1" customWidth="1"/>
    <col min="71" max="71" width="130.08984375" bestFit="1" customWidth="1"/>
    <col min="72" max="72" width="55.90625" bestFit="1" customWidth="1"/>
    <col min="73" max="73" width="36.453125" bestFit="1" customWidth="1"/>
    <col min="74" max="74" width="66.26953125" bestFit="1" customWidth="1"/>
    <col min="75" max="75" width="91.1796875" bestFit="1" customWidth="1"/>
    <col min="76" max="76" width="33.81640625" bestFit="1" customWidth="1"/>
    <col min="77" max="77" width="89.90625" bestFit="1" customWidth="1"/>
    <col min="78" max="78" width="75.08984375" bestFit="1" customWidth="1"/>
    <col min="79" max="79" width="59.36328125" bestFit="1" customWidth="1"/>
    <col min="80" max="80" width="46.7265625" bestFit="1" customWidth="1"/>
    <col min="81" max="81" width="80" bestFit="1" customWidth="1"/>
    <col min="82" max="82" width="76.6328125" bestFit="1" customWidth="1"/>
    <col min="83" max="83" width="58.81640625" bestFit="1" customWidth="1"/>
    <col min="84" max="84" width="87" bestFit="1" customWidth="1"/>
    <col min="85" max="85" width="105.90625" bestFit="1" customWidth="1"/>
    <col min="86" max="86" width="56.81640625" bestFit="1" customWidth="1"/>
    <col min="87" max="87" width="10.36328125" bestFit="1" customWidth="1"/>
  </cols>
  <sheetData>
    <row r="1" spans="1:4" x14ac:dyDescent="0.35">
      <c r="C1" s="8" t="s">
        <v>298</v>
      </c>
      <c r="D1" s="9" t="s">
        <v>299</v>
      </c>
    </row>
    <row r="2" spans="1:4" x14ac:dyDescent="0.35">
      <c r="A2" s="6" t="s">
        <v>119</v>
      </c>
      <c r="C2" t="str">
        <f>A2</f>
        <v>History &amp; Society</v>
      </c>
      <c r="D2" cm="1">
        <f t="array" ref="D2">SUMPRODUCT(--ISNUMBER(SEARCH(","&amp;C2&amp;",",","&amp;SUBSTITUTE('funfacts-draft'!$F$2:$F$86,", ",",")&amp;",")))</f>
        <v>14</v>
      </c>
    </row>
    <row r="3" spans="1:4" x14ac:dyDescent="0.35">
      <c r="A3" s="6" t="s">
        <v>120</v>
      </c>
      <c r="C3" t="str">
        <f>A3</f>
        <v>Health &amp; Medicine</v>
      </c>
      <c r="D3" cm="1">
        <f t="array" ref="D3">SUMPRODUCT(--ISNUMBER(SEARCH(","&amp;C3&amp;",",","&amp;SUBSTITUTE('funfacts-draft'!$F$2:$F$86,", ",",")&amp;",")))</f>
        <v>10</v>
      </c>
    </row>
    <row r="4" spans="1:4" x14ac:dyDescent="0.35">
      <c r="A4" s="6" t="s">
        <v>121</v>
      </c>
      <c r="C4" t="str">
        <f>A4</f>
        <v>Places &amp; Cultures</v>
      </c>
      <c r="D4" cm="1">
        <f t="array" ref="D4">SUMPRODUCT(--ISNUMBER(SEARCH(","&amp;C4&amp;",",","&amp;SUBSTITUTE('funfacts-draft'!$F$2:$F$86,", ",",")&amp;",")))</f>
        <v>19</v>
      </c>
    </row>
    <row r="5" spans="1:4" x14ac:dyDescent="0.35">
      <c r="A5" s="6" t="s">
        <v>30</v>
      </c>
      <c r="C5" t="str">
        <f>A5</f>
        <v>Werd Facts</v>
      </c>
      <c r="D5" cm="1">
        <f t="array" ref="D5">SUMPRODUCT(--ISNUMBER(SEARCH(","&amp;C5&amp;",",","&amp;SUBSTITUTE('funfacts-draft'!$F$2:$F$86,", ",",")&amp;",")))</f>
        <v>17</v>
      </c>
    </row>
    <row r="6" spans="1:4" x14ac:dyDescent="0.35">
      <c r="A6" s="6" t="s">
        <v>6</v>
      </c>
      <c r="C6" t="str">
        <f>A6</f>
        <v>Animal Facts</v>
      </c>
      <c r="D6" cm="1">
        <f t="array" ref="D6">SUMPRODUCT(--ISNUMBER(SEARCH(","&amp;C6&amp;",",","&amp;SUBSTITUTE('funfacts-draft'!$F$2:$F$86,", ",",")&amp;",")))</f>
        <v>16</v>
      </c>
    </row>
    <row r="7" spans="1:4" x14ac:dyDescent="0.35">
      <c r="A7" s="6" t="s">
        <v>101</v>
      </c>
      <c r="C7" t="str">
        <f>A7</f>
        <v>Weird Laws</v>
      </c>
      <c r="D7" cm="1">
        <f t="array" ref="D7">SUMPRODUCT(--ISNUMBER(SEARCH(","&amp;C7&amp;",",","&amp;SUBSTITUTE('funfacts-draft'!$F$2:$F$86,", ",",")&amp;",")))</f>
        <v>6</v>
      </c>
    </row>
    <row r="8" spans="1:4" x14ac:dyDescent="0.35">
      <c r="A8" s="6" t="s">
        <v>28</v>
      </c>
      <c r="C8" t="str">
        <f>A8</f>
        <v>Life Hacks</v>
      </c>
      <c r="D8" cm="1">
        <f t="array" ref="D8">SUMPRODUCT(--ISNUMBER(SEARCH(","&amp;C8&amp;",",","&amp;SUBSTITUTE('funfacts-draft'!$F$2:$F$86,", ",",")&amp;",")))</f>
        <v>6</v>
      </c>
    </row>
    <row r="9" spans="1:4" x14ac:dyDescent="0.35">
      <c r="A9" s="6" t="s">
        <v>122</v>
      </c>
      <c r="C9" t="str">
        <f>A9</f>
        <v>Mind &amp; Behavior</v>
      </c>
      <c r="D9" cm="1">
        <f t="array" ref="D9">SUMPRODUCT(--ISNUMBER(SEARCH(","&amp;C9&amp;",",","&amp;SUBSTITUTE('funfacts-draft'!$F$2:$F$86,", ",",")&amp;",")))</f>
        <v>12</v>
      </c>
    </row>
    <row r="10" spans="1:4" x14ac:dyDescent="0.35">
      <c r="A10" s="6" t="s">
        <v>25</v>
      </c>
      <c r="C10" t="str">
        <f>A10</f>
        <v>Science</v>
      </c>
      <c r="D10" cm="1">
        <f t="array" ref="D10">SUMPRODUCT(--ISNUMBER(SEARCH(","&amp;C10&amp;",",","&amp;SUBSTITUTE('funfacts-draft'!$F$2:$F$86,", ",",")&amp;",")))</f>
        <v>12</v>
      </c>
    </row>
    <row r="11" spans="1:4" x14ac:dyDescent="0.35">
      <c r="A11" s="4" t="s">
        <v>123</v>
      </c>
      <c r="C11" t="str">
        <f>A11</f>
        <v>Inventions &amp; Technology</v>
      </c>
      <c r="D11" cm="1">
        <f t="array" ref="D11">SUMPRODUCT(--ISNUMBER(SEARCH(","&amp;C11&amp;",",","&amp;SUBSTITUTE('funfacts-draft'!$F$2:$F$86,", ",",")&amp;",")))</f>
        <v>2</v>
      </c>
    </row>
    <row r="12" spans="1:4" x14ac:dyDescent="0.35">
      <c r="A12" s="6" t="s">
        <v>20</v>
      </c>
      <c r="C12" t="str">
        <f>A12</f>
        <v>Pop Culture</v>
      </c>
      <c r="D12" cm="1">
        <f t="array" ref="D12">SUMPRODUCT(--ISNUMBER(SEARCH(","&amp;C12&amp;",",","&amp;SUBSTITUTE('funfacts-draft'!$F$2:$F$86,", ",",")&amp;",")))</f>
        <v>18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5A7D9-881D-4FFA-951D-D2F2688AEA70}">
  <dimension ref="A1"/>
  <sheetViews>
    <sheetView workbookViewId="0">
      <selection activeCell="D4" sqref="D4"/>
    </sheetView>
  </sheetViews>
  <sheetFormatPr defaultRowHeight="14.5" x14ac:dyDescent="0.35"/>
  <sheetData>
    <row r="1" spans="1:1" x14ac:dyDescent="0.35">
      <c r="A1" t="s">
        <v>118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29126D93-9FD3-4259-948C-FFF0F6171151}">
  <ds:schemaRefs/>
</ds:datastoreItem>
</file>

<file path=customXml/itemProps2.xml><?xml version="1.0" encoding="utf-8"?>
<ds:datastoreItem xmlns:ds="http://schemas.openxmlformats.org/officeDocument/2006/customXml" ds:itemID="{94591FC2-2C05-4199-9646-51B96F600E40}">
  <ds:schemaRefs/>
</ds:datastoreItem>
</file>

<file path=customXml/itemProps3.xml><?xml version="1.0" encoding="utf-8"?>
<ds:datastoreItem xmlns:ds="http://schemas.openxmlformats.org/officeDocument/2006/customXml" ds:itemID="{C0F3BD41-B22B-4031-8B5E-44F34A1F7F38}">
  <ds:schemaRefs/>
</ds:datastoreItem>
</file>

<file path=customXml/itemProps4.xml><?xml version="1.0" encoding="utf-8"?>
<ds:datastoreItem xmlns:ds="http://schemas.openxmlformats.org/officeDocument/2006/customXml" ds:itemID="{5DA6F16F-FCEB-49D4-8BDB-139ED21F7486}">
  <ds:schemaRefs/>
</ds:datastoreItem>
</file>

<file path=customXml/itemProps5.xml><?xml version="1.0" encoding="utf-8"?>
<ds:datastoreItem xmlns:ds="http://schemas.openxmlformats.org/officeDocument/2006/customXml" ds:itemID="{626300A8-3A99-453B-8FE6-E2CEF48C8189}">
  <ds:schemaRefs/>
</ds:datastoreItem>
</file>

<file path=customXml/itemProps6.xml><?xml version="1.0" encoding="utf-8"?>
<ds:datastoreItem xmlns:ds="http://schemas.openxmlformats.org/officeDocument/2006/customXml" ds:itemID="{9532B395-314E-4A86-ACFB-839B52063093}">
  <ds:schemaRefs/>
</ds:datastoreItem>
</file>

<file path=customXml/itemProps7.xml><?xml version="1.0" encoding="utf-8"?>
<ds:datastoreItem xmlns:ds="http://schemas.openxmlformats.org/officeDocument/2006/customXml" ds:itemID="{E05577DB-8DE0-4311-9A39-20FB37D83020}">
  <ds:schemaRefs/>
</ds:datastoreItem>
</file>

<file path=customXml/itemProps8.xml><?xml version="1.0" encoding="utf-8"?>
<ds:datastoreItem xmlns:ds="http://schemas.openxmlformats.org/officeDocument/2006/customXml" ds:itemID="{DD399D08-98E6-4442-8A6B-32CAB82F37CC}">
  <ds:schemaRefs/>
</ds:datastoreItem>
</file>

<file path=customXml/itemProps9.xml><?xml version="1.0" encoding="utf-8"?>
<ds:datastoreItem xmlns:ds="http://schemas.openxmlformats.org/officeDocument/2006/customXml" ds:itemID="{11357F0B-A5A3-4F6B-9216-0D040972348F}">
  <ds:schemaRefs/>
</ds:datastoreItem>
</file>

<file path=customXml/itemProps10.xml><?xml version="1.0" encoding="utf-8"?>
<ds:datastoreItem xmlns:ds="http://schemas.openxmlformats.org/officeDocument/2006/customXml" ds:itemID="{1C9143BE-46B4-458C-BBA4-02DC286FD2C0}">
  <ds:schemaRefs/>
</ds:datastoreItem>
</file>

<file path=customXml/itemProps11.xml><?xml version="1.0" encoding="utf-8"?>
<ds:datastoreItem xmlns:ds="http://schemas.openxmlformats.org/officeDocument/2006/customXml" ds:itemID="{AD92DF97-5070-479A-9F7F-967E02DB3345}">
  <ds:schemaRefs/>
</ds:datastoreItem>
</file>

<file path=customXml/itemProps12.xml><?xml version="1.0" encoding="utf-8"?>
<ds:datastoreItem xmlns:ds="http://schemas.openxmlformats.org/officeDocument/2006/customXml" ds:itemID="{7C7AAE1A-1071-467E-B692-EC6EEAFD5A3E}">
  <ds:schemaRefs/>
</ds:datastoreItem>
</file>

<file path=customXml/itemProps13.xml><?xml version="1.0" encoding="utf-8"?>
<ds:datastoreItem xmlns:ds="http://schemas.openxmlformats.org/officeDocument/2006/customXml" ds:itemID="{9C0FF1CA-8942-489C-814A-859E3A9A9C68}">
  <ds:schemaRefs/>
</ds:datastoreItem>
</file>

<file path=customXml/itemProps14.xml><?xml version="1.0" encoding="utf-8"?>
<ds:datastoreItem xmlns:ds="http://schemas.openxmlformats.org/officeDocument/2006/customXml" ds:itemID="{EF1C86DC-0682-4B82-9AF6-579DECC5A0EA}">
  <ds:schemaRefs/>
</ds:datastoreItem>
</file>

<file path=customXml/itemProps15.xml><?xml version="1.0" encoding="utf-8"?>
<ds:datastoreItem xmlns:ds="http://schemas.openxmlformats.org/officeDocument/2006/customXml" ds:itemID="{A65E7BF7-40B9-46F9-9FF5-2284FC42D8D4}">
  <ds:schemaRefs/>
</ds:datastoreItem>
</file>

<file path=customXml/itemProps16.xml><?xml version="1.0" encoding="utf-8"?>
<ds:datastoreItem xmlns:ds="http://schemas.openxmlformats.org/officeDocument/2006/customXml" ds:itemID="{B8876B71-D99C-4710-87FB-2537C93072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funfacts-draft</vt:lpstr>
      <vt:lpstr>Categories</vt:lpstr>
      <vt:lpstr>notes</vt:lpstr>
      <vt:lpstr>cats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Stephanie Kellum</cp:lastModifiedBy>
  <dcterms:created xsi:type="dcterms:W3CDTF">2026-09-06T03:55:12Z</dcterms:created>
  <dcterms:modified xsi:type="dcterms:W3CDTF">2026-09-06T08:41:50Z</dcterms:modified>
</cp:coreProperties>
</file>